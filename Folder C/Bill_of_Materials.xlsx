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ill of Materials" sheetId="1" state="visible" r:id="rId3"/>
    <sheet name="Cost by category" sheetId="2" state="visible" r:id="rId4"/>
  </sheets>
  <definedNames>
    <definedName function="false" hidden="false" localSheetId="0" name="_xlnm.Print_Titles" vbProcedure="false">'Bill of Materials'!$8:$8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41" authorId="0">
      <text>
        <r>
          <rPr>
            <sz val="10"/>
            <rFont val="Arial"/>
            <family val="2"/>
          </rPr>
          <t xml:space="preserve">Assumption: 10% contingency. Covers one spare 5-channel sensor array and one spare TT motor — the two parts most likely to be damaged during track testing. Adjust as your budget allows.</t>
        </r>
      </text>
    </comment>
    <comment ref="E40" authorId="0">
      <text>
        <r>
          <rPr>
            <sz val="10"/>
            <rFont val="Arial"/>
            <family val="2"/>
          </rPr>
          <t xml:space="preserve">Sum of every line total above. Updates automatically when a quantity or unit price is edited.</t>
        </r>
      </text>
    </comment>
  </commentList>
</comments>
</file>

<file path=xl/sharedStrings.xml><?xml version="1.0" encoding="utf-8"?>
<sst xmlns="http://schemas.openxmlformats.org/spreadsheetml/2006/main" count="177" uniqueCount="115">
  <si>
    <t xml:space="preserve">LIGHTNING McQUEEN  —  BILL OF MATERIALS</t>
  </si>
  <si>
    <t xml:space="preserve">Team CO Coders  ·  Robo Rumble 2026  ·  Robo Grand Prix  ·  Elimination Round submission</t>
  </si>
  <si>
    <t xml:space="preserve">All prices in South African Rand (ZAR), incl. VAT.</t>
  </si>
  <si>
    <t xml:space="preserve">HOW TO USE THIS SHEET</t>
  </si>
  <si>
    <t xml:space="preserve">Yellow cells are inputs you must confirm against the supplier's live listing before submission — prices and stock codes change. Everything else is a formula and updates itself.</t>
  </si>
  <si>
    <t xml:space="preserve">#</t>
  </si>
  <si>
    <t xml:space="preserve">Component</t>
  </si>
  <si>
    <t xml:space="preserve">Qty</t>
  </si>
  <si>
    <t xml:space="preserve">Cost per unit (ZAR)</t>
  </si>
  <si>
    <t xml:space="preserve">Line total (ZAR)</t>
  </si>
  <si>
    <t xml:space="preserve">Supplier</t>
  </si>
  <si>
    <t xml:space="preserve">Supplier stock code</t>
  </si>
  <si>
    <t xml:space="preserve">Direct link to buy</t>
  </si>
  <si>
    <t xml:space="preserve">Function / justification</t>
  </si>
  <si>
    <t xml:space="preserve">CONTROL &amp; DRIVE ELECTRONICS</t>
  </si>
  <si>
    <t xml:space="preserve">Arduino Uno R3 (ATmega328P, 16 MHz)</t>
  </si>
  <si>
    <t xml:space="preserve">Micro Robotics</t>
  </si>
  <si>
    <t xml:space="preserve">VERIFY</t>
  </si>
  <si>
    <t xml:space="preserve">https://www.robotics.org.za/</t>
  </si>
  <si>
    <t xml:space="preserve">Control unit. 5 ADC channels + Timer1 PWM.</t>
  </si>
  <si>
    <t xml:space="preserve">L298N dual H-bridge motor driver module</t>
  </si>
  <si>
    <t xml:space="preserve">2 A/channel. On-board 78M05 supplies the 5 V logic rail.</t>
  </si>
  <si>
    <t xml:space="preserve">TT gear motor 1:48 with 65 mm wheel</t>
  </si>
  <si>
    <t xml:space="preserve">Drive. ~170 rpm loaded on 9 V.</t>
  </si>
  <si>
    <t xml:space="preserve">Ball castor, 20 mm</t>
  </si>
  <si>
    <t xml:space="preserve">Tail support.</t>
  </si>
  <si>
    <t xml:space="preserve">SENSING</t>
  </si>
  <si>
    <t xml:space="preserve">TCRT5000 5-channel reflective array module</t>
  </si>
  <si>
    <t xml:space="preserve">TRCT5000-4C</t>
  </si>
  <si>
    <t xml:space="preserve">https://www.robotics.org.za/TRCT5000-4C</t>
  </si>
  <si>
    <t xml:space="preserve">Line sensing. 20 mm pitch, mounted at 12 mm ride height.</t>
  </si>
  <si>
    <t xml:space="preserve">TCRT5000 single adjustable module (spare)</t>
  </si>
  <si>
    <t xml:space="preserve">TCRT5000-ADJ</t>
  </si>
  <si>
    <t xml:space="preserve">https://www.robotics.org.za/TCRT5000-ADJ</t>
  </si>
  <si>
    <t xml:space="preserve">Spare / bench-test channel.</t>
  </si>
  <si>
    <t xml:space="preserve">POWER &amp; SAFETY</t>
  </si>
  <si>
    <t xml:space="preserve">9 V PP3 alkaline battery</t>
  </si>
  <si>
    <t xml:space="preserve">Communica</t>
  </si>
  <si>
    <t xml:space="preserve">https://www.communica.co.za/</t>
  </si>
  <si>
    <t xml:space="preserve">2 cells in series-parallel: 9 V, ~1.2 Ah.</t>
  </si>
  <si>
    <t xml:space="preserve">9 V PP3 battery holder with flying leads</t>
  </si>
  <si>
    <t xml:space="preserve">Hook-and-loop mounted for fast swaps between heats.</t>
  </si>
  <si>
    <t xml:space="preserve">22 mm latching mushroom E-Stop, NC contact</t>
  </si>
  <si>
    <t xml:space="preserve">MANDATORY - Universal Design Constraint 4. First device in the battery positive line.</t>
  </si>
  <si>
    <t xml:space="preserve">SPST rocker switch, panel mount</t>
  </si>
  <si>
    <t xml:space="preserve">MANDATORY - Universal Design Constraint 3. Rear-left corner of the deck.</t>
  </si>
  <si>
    <t xml:space="preserve">Resettable polyfuse, 2 A hold</t>
  </si>
  <si>
    <t xml:space="preserve">Overcurrent protection ahead of the E-Stop.</t>
  </si>
  <si>
    <t xml:space="preserve">INDICATION &amp; PASSIVES</t>
  </si>
  <si>
    <t xml:space="preserve">Momentary pushbutton (ARM)</t>
  </si>
  <si>
    <t xml:space="preserve">Pre-run arm button, INPUT_PULLUP.</t>
  </si>
  <si>
    <t xml:space="preserve">5 mm LED (power + status)</t>
  </si>
  <si>
    <t xml:space="preserve">D1 power-on, D2 state blink codes.</t>
  </si>
  <si>
    <t xml:space="preserve">Resistor assortment (220 R, 1 k)</t>
  </si>
  <si>
    <t xml:space="preserve">LED current limiting.</t>
  </si>
  <si>
    <t xml:space="preserve">Piezo buzzer, 5 V</t>
  </si>
  <si>
    <t xml:space="preserve">Audible arm, countdown and fault.</t>
  </si>
  <si>
    <t xml:space="preserve">Electrolytic capacitor, 100 uF 16 V</t>
  </si>
  <si>
    <t xml:space="preserve">5 V rail bulk decoupling.</t>
  </si>
  <si>
    <t xml:space="preserve">INTERCONNECT</t>
  </si>
  <si>
    <t xml:space="preserve">830-point solderless breadboard</t>
  </si>
  <si>
    <t xml:space="preserve">Main interconnect, deck centreline.</t>
  </si>
  <si>
    <t xml:space="preserve">Jumper wire set (M-M / M-F, 120 pcs)</t>
  </si>
  <si>
    <t xml:space="preserve">Wiring loom.</t>
  </si>
  <si>
    <t xml:space="preserve">Heat-shrink assortment and solder</t>
  </si>
  <si>
    <t xml:space="preserve">Loom termination.</t>
  </si>
  <si>
    <t xml:space="preserve">CHASSIS &amp; HARDWARE</t>
  </si>
  <si>
    <t xml:space="preserve">Cast acrylic sheet 3 mm, 300 x 200 mm, laser cut to DXF</t>
  </si>
  <si>
    <t xml:space="preserve">Local laser-cutting service</t>
  </si>
  <si>
    <t xml:space="preserve">local supply — see note</t>
  </si>
  <si>
    <t xml:space="preserve">Deck plate. Cut from Folder B/Mechanical Design/CAD/deck_plate_laser_cut.dxf</t>
  </si>
  <si>
    <t xml:space="preserve">M3 nylon standoff kit (8 mm and 30 mm)</t>
  </si>
  <si>
    <t xml:space="preserve">Nylon, not steel - steel standoffs beside the IR emitters reflect.</t>
  </si>
  <si>
    <t xml:space="preserve">M3 bolts and nyloc nuts assortment</t>
  </si>
  <si>
    <t xml:space="preserve">Every joint bolted, none glued.</t>
  </si>
  <si>
    <t xml:space="preserve">Hook-and-loop strap, 25 mm</t>
  </si>
  <si>
    <t xml:space="preserve">Local hardware</t>
  </si>
  <si>
    <t xml:space="preserve">Battery pack retention - 10 second swap.</t>
  </si>
  <si>
    <t xml:space="preserve">PLA filament for the E-Stop mast (est. 40 g)</t>
  </si>
  <si>
    <t xml:space="preserve">3D printed, 30 mm dia x 48 mm, 4 perimeters, 40% infill.</t>
  </si>
  <si>
    <t xml:space="preserve">Subtotal — components</t>
  </si>
  <si>
    <t xml:space="preserve">Contingency — spares and breakage (10%)</t>
  </si>
  <si>
    <t xml:space="preserve">One spare sensor array and one spare TT motor cover the two parts most likely to be damaged in testing.</t>
  </si>
  <si>
    <t xml:space="preserve">TOTAL COST OF IMPLEMENTATION</t>
  </si>
  <si>
    <t xml:space="preserve">◄ TOTAL, IN RED AS REQUIRED</t>
  </si>
  <si>
    <t xml:space="preserve">Unit count</t>
  </si>
  <si>
    <t xml:space="preserve">Line items</t>
  </si>
  <si>
    <t xml:space="preserve">COST BY CATEGORY</t>
  </si>
  <si>
    <t xml:space="preserve">Derived from the Bill of Materials sheet — no numbers are typed here.</t>
  </si>
  <si>
    <t xml:space="preserve">Category</t>
  </si>
  <si>
    <t xml:space="preserve">Cost (ZAR)</t>
  </si>
  <si>
    <t xml:space="preserve">Share of total</t>
  </si>
  <si>
    <t xml:space="preserve">Note</t>
  </si>
  <si>
    <t xml:space="preserve">Control &amp; drive electronics</t>
  </si>
  <si>
    <t xml:space="preserve">The Uno and L298N are the two parts a judge will ask about; both were chosen for availability over outright performance.</t>
  </si>
  <si>
    <t xml:space="preserve">Sensing</t>
  </si>
  <si>
    <t xml:space="preserve">Five analog channels rather than three digital ones — the single most consequential electronic decision on the car.</t>
  </si>
  <si>
    <t xml:space="preserve">Power &amp; safety</t>
  </si>
  <si>
    <t xml:space="preserve">Includes both mandatory safety devices. The E-Stop is the most expensive single item and is not negotiable.</t>
  </si>
  <si>
    <t xml:space="preserve">Indication &amp; passives</t>
  </si>
  <si>
    <t xml:space="preserve">Cheap, and what lets a marshal read the car's state from the side of the track.</t>
  </si>
  <si>
    <t xml:space="preserve">Interconnect</t>
  </si>
  <si>
    <t xml:space="preserve">The 830-point breadboard our concept committed to, plus the loom.</t>
  </si>
  <si>
    <t xml:space="preserve">Chassis &amp; hardware</t>
  </si>
  <si>
    <t xml:space="preserve">Laser cutting is the largest line here and buys dimensional accuracy we cannot get by hand.</t>
  </si>
  <si>
    <t xml:space="preserve">Contingency (10%)</t>
  </si>
  <si>
    <t xml:space="preserve">COMPETITION COMPLIANCE</t>
  </si>
  <si>
    <t xml:space="preserve">Footprint</t>
  </si>
  <si>
    <t xml:space="preserve">300 × 211 × 107 mm against a 500 × 500 mm limit</t>
  </si>
  <si>
    <t xml:space="preserve">Mass</t>
  </si>
  <si>
    <t xml:space="preserve">0.86 kg against a 5 kg limit (17% of the allowance)</t>
  </si>
  <si>
    <t xml:space="preserve">ON/OFF switch</t>
  </si>
  <si>
    <t xml:space="preserve">SW2, SPST rocker — line 10 of the BOM</t>
  </si>
  <si>
    <t xml:space="preserve">Emergency Stop</t>
  </si>
  <si>
    <t xml:space="preserve">SW1, 22 mm latching NC — line 9 of the BOM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</si>
</sst>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color rgb="FF5B6470"/>
      <name val="Arial"/>
      <family val="0"/>
      <charset val="1"/>
    </font>
    <font>
      <i val="true"/>
      <sz val="10"/>
      <color rgb="FF5B6470"/>
      <name val="Arial"/>
      <family val="0"/>
      <charset val="1"/>
    </font>
    <font>
      <b val="true"/>
      <sz val="10"/>
      <color rgb="FF1B1F24"/>
      <name val="Arial"/>
      <family val="0"/>
      <charset val="1"/>
    </font>
    <font>
      <sz val="10"/>
      <color rgb="FF1B1F2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.5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9"/>
      <color rgb="FF0563C1"/>
      <name val="Arial"/>
      <family val="0"/>
      <charset val="1"/>
    </font>
    <font>
      <sz val="9"/>
      <color rgb="FF404040"/>
      <name val="Arial"/>
      <family val="0"/>
      <charset val="1"/>
    </font>
    <font>
      <i val="true"/>
      <sz val="9"/>
      <color rgb="FF5B6470"/>
      <name val="Arial"/>
      <family val="0"/>
      <charset val="1"/>
    </font>
    <font>
      <b val="true"/>
      <sz val="11"/>
      <color rgb="FF1B1F24"/>
      <name val="Arial"/>
      <family val="0"/>
      <charset val="1"/>
    </font>
    <font>
      <sz val="11"/>
      <color rgb="FF1B1F24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3"/>
      <color rgb="FFFF0000"/>
      <name val="Arial"/>
      <family val="0"/>
      <charset val="1"/>
    </font>
    <font>
      <b val="true"/>
      <sz val="14"/>
      <color rgb="FFFF0000"/>
      <name val="Arial"/>
      <family val="0"/>
      <charset val="1"/>
    </font>
    <font>
      <b val="true"/>
      <sz val="10"/>
      <color rgb="FFFF0000"/>
      <name val="Arial"/>
      <family val="0"/>
      <charset val="1"/>
    </font>
    <font>
      <sz val="10"/>
      <name val="Arial"/>
      <family val="2"/>
    </font>
    <font>
      <b val="true"/>
      <sz val="14"/>
      <color rgb="FF1F3864"/>
      <name val="Arial"/>
      <family val="0"/>
      <charset val="1"/>
    </font>
    <font>
      <b val="true"/>
      <sz val="12"/>
      <color rgb="FFFF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99"/>
      </patternFill>
    </fill>
    <fill>
      <patternFill patternType="solid">
        <fgColor rgb="FFEDEDED"/>
        <bgColor rgb="FFD9E2F3"/>
      </patternFill>
    </fill>
    <fill>
      <patternFill patternType="solid">
        <fgColor rgb="FFD9E2F3"/>
        <bgColor rgb="FFEDEDED"/>
      </patternFill>
    </fill>
    <fill>
      <patternFill patternType="solid">
        <fgColor rgb="FFFFF2C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1F3864"/>
      </left>
      <right style="medium">
        <color rgb="FF1F3864"/>
      </right>
      <top style="medium">
        <color rgb="FF1F3864"/>
      </top>
      <bottom style="double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470"/>
      <rgbColor rgb="FF969696"/>
      <rgbColor rgb="FF1F3864"/>
      <rgbColor rgb="FF339966"/>
      <rgbColor rgb="FF003300"/>
      <rgbColor rgb="FF1B1F24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www.robotics.org.za/" TargetMode="External"/><Relationship Id="rId3" Type="http://schemas.openxmlformats.org/officeDocument/2006/relationships/hyperlink" Target="https://www.robotics.org.za/" TargetMode="External"/><Relationship Id="rId4" Type="http://schemas.openxmlformats.org/officeDocument/2006/relationships/hyperlink" Target="https://www.robotics.org.za/" TargetMode="External"/><Relationship Id="rId5" Type="http://schemas.openxmlformats.org/officeDocument/2006/relationships/hyperlink" Target="https://www.robotics.org.za/" TargetMode="External"/><Relationship Id="rId6" Type="http://schemas.openxmlformats.org/officeDocument/2006/relationships/hyperlink" Target="https://www.robotics.org.za/TRCT5000-4C" TargetMode="External"/><Relationship Id="rId7" Type="http://schemas.openxmlformats.org/officeDocument/2006/relationships/hyperlink" Target="https://www.robotics.org.za/TCRT5000-ADJ" TargetMode="External"/><Relationship Id="rId8" Type="http://schemas.openxmlformats.org/officeDocument/2006/relationships/hyperlink" Target="https://www.communica.co.za/" TargetMode="External"/><Relationship Id="rId9" Type="http://schemas.openxmlformats.org/officeDocument/2006/relationships/hyperlink" Target="https://www.communica.co.za/" TargetMode="External"/><Relationship Id="rId10" Type="http://schemas.openxmlformats.org/officeDocument/2006/relationships/hyperlink" Target="https://www.communica.co.za/" TargetMode="External"/><Relationship Id="rId11" Type="http://schemas.openxmlformats.org/officeDocument/2006/relationships/hyperlink" Target="https://www.communica.co.za/" TargetMode="External"/><Relationship Id="rId12" Type="http://schemas.openxmlformats.org/officeDocument/2006/relationships/hyperlink" Target="https://www.communica.co.za/" TargetMode="External"/><Relationship Id="rId13" Type="http://schemas.openxmlformats.org/officeDocument/2006/relationships/hyperlink" Target="https://www.communica.co.za/" TargetMode="External"/><Relationship Id="rId14" Type="http://schemas.openxmlformats.org/officeDocument/2006/relationships/hyperlink" Target="https://www.communica.co.za/" TargetMode="External"/><Relationship Id="rId15" Type="http://schemas.openxmlformats.org/officeDocument/2006/relationships/hyperlink" Target="https://www.communica.co.za/" TargetMode="External"/><Relationship Id="rId16" Type="http://schemas.openxmlformats.org/officeDocument/2006/relationships/hyperlink" Target="https://www.communica.co.za/" TargetMode="External"/><Relationship Id="rId17" Type="http://schemas.openxmlformats.org/officeDocument/2006/relationships/hyperlink" Target="https://www.communica.co.za/" TargetMode="External"/><Relationship Id="rId18" Type="http://schemas.openxmlformats.org/officeDocument/2006/relationships/hyperlink" Target="https://www.robotics.org.za/" TargetMode="External"/><Relationship Id="rId19" Type="http://schemas.openxmlformats.org/officeDocument/2006/relationships/hyperlink" Target="https://www.robotics.org.za/" TargetMode="External"/><Relationship Id="rId20" Type="http://schemas.openxmlformats.org/officeDocument/2006/relationships/hyperlink" Target="https://www.communica.co.za/" TargetMode="External"/><Relationship Id="rId21" Type="http://schemas.openxmlformats.org/officeDocument/2006/relationships/hyperlink" Target="https://www.communica.co.za/" TargetMode="External"/><Relationship Id="rId22" Type="http://schemas.openxmlformats.org/officeDocument/2006/relationships/hyperlink" Target="https://www.communica.co.za/" TargetMode="External"/><Relationship Id="rId23" Type="http://schemas.openxmlformats.org/officeDocument/2006/relationships/hyperlink" Target="https://www.robotics.org.za/" TargetMode="External"/><Relationship Id="rId24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2"/>
    <col collapsed="false" customWidth="true" hidden="false" outlineLevel="0" max="3" min="3" style="0" width="6"/>
    <col collapsed="false" customWidth="true" hidden="false" outlineLevel="0" max="4" min="4" style="0" width="17"/>
    <col collapsed="false" customWidth="true" hidden="false" outlineLevel="0" max="5" min="5" style="0" width="16"/>
    <col collapsed="false" customWidth="true" hidden="false" outlineLevel="0" max="6" min="6" style="0" width="24"/>
    <col collapsed="false" customWidth="true" hidden="false" outlineLevel="0" max="7" min="7" style="0" width="20"/>
    <col collapsed="false" customWidth="true" hidden="false" outlineLevel="0" max="8" min="8" style="0" width="40"/>
    <col collapsed="false" customWidth="true" hidden="false" outlineLevel="0" max="9" min="9" style="0" width="62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15" hidden="false" customHeight="false" outlineLevel="0" collapsed="false">
      <c r="A5" s="4" t="s">
        <v>3</v>
      </c>
    </row>
    <row r="6" customFormat="false" ht="30" hidden="false" customHeight="true" outlineLevel="0" collapsed="false">
      <c r="A6" s="5" t="s">
        <v>4</v>
      </c>
      <c r="B6" s="5"/>
      <c r="C6" s="5"/>
      <c r="D6" s="5"/>
      <c r="E6" s="5"/>
      <c r="F6" s="5"/>
      <c r="G6" s="5"/>
      <c r="H6" s="5"/>
      <c r="I6" s="5"/>
    </row>
    <row r="8" customFormat="false" ht="31.5" hidden="false" customHeight="true" outlineLevel="0" collapsed="false">
      <c r="A8" s="6" t="s">
        <v>5</v>
      </c>
      <c r="B8" s="6" t="s">
        <v>6</v>
      </c>
      <c r="C8" s="6" t="s">
        <v>7</v>
      </c>
      <c r="D8" s="6" t="s">
        <v>8</v>
      </c>
      <c r="E8" s="6" t="s">
        <v>9</v>
      </c>
      <c r="F8" s="6" t="s">
        <v>10</v>
      </c>
      <c r="G8" s="6" t="s">
        <v>11</v>
      </c>
      <c r="H8" s="6" t="s">
        <v>12</v>
      </c>
      <c r="I8" s="6" t="s">
        <v>13</v>
      </c>
    </row>
    <row r="9" customFormat="false" ht="15" hidden="false" customHeight="false" outlineLevel="0" collapsed="false">
      <c r="A9" s="7" t="s">
        <v>14</v>
      </c>
      <c r="B9" s="7"/>
      <c r="C9" s="7"/>
      <c r="D9" s="7"/>
      <c r="E9" s="7"/>
      <c r="F9" s="7"/>
      <c r="G9" s="7"/>
      <c r="H9" s="7"/>
      <c r="I9" s="7"/>
    </row>
    <row r="10" customFormat="false" ht="25.5" hidden="false" customHeight="true" outlineLevel="0" collapsed="false">
      <c r="A10" s="8" t="n">
        <v>1</v>
      </c>
      <c r="B10" s="8" t="s">
        <v>15</v>
      </c>
      <c r="C10" s="9" t="n">
        <v>1</v>
      </c>
      <c r="D10" s="10" t="n">
        <v>250</v>
      </c>
      <c r="E10" s="11" t="n">
        <f aca="false">C10*D10</f>
        <v>250</v>
      </c>
      <c r="F10" s="8" t="s">
        <v>16</v>
      </c>
      <c r="G10" s="9" t="s">
        <v>17</v>
      </c>
      <c r="H10" s="12" t="s">
        <v>18</v>
      </c>
      <c r="I10" s="13" t="s">
        <v>19</v>
      </c>
    </row>
    <row r="11" customFormat="false" ht="25.5" hidden="false" customHeight="true" outlineLevel="0" collapsed="false">
      <c r="A11" s="8" t="n">
        <v>2</v>
      </c>
      <c r="B11" s="8" t="s">
        <v>20</v>
      </c>
      <c r="C11" s="9" t="n">
        <v>1</v>
      </c>
      <c r="D11" s="10" t="n">
        <v>85</v>
      </c>
      <c r="E11" s="11" t="n">
        <f aca="false">C11*D11</f>
        <v>85</v>
      </c>
      <c r="F11" s="8" t="s">
        <v>16</v>
      </c>
      <c r="G11" s="9" t="s">
        <v>17</v>
      </c>
      <c r="H11" s="12" t="s">
        <v>18</v>
      </c>
      <c r="I11" s="13" t="s">
        <v>21</v>
      </c>
    </row>
    <row r="12" customFormat="false" ht="25.5" hidden="false" customHeight="true" outlineLevel="0" collapsed="false">
      <c r="A12" s="8" t="n">
        <v>3</v>
      </c>
      <c r="B12" s="8" t="s">
        <v>22</v>
      </c>
      <c r="C12" s="9" t="n">
        <v>2</v>
      </c>
      <c r="D12" s="10" t="n">
        <v>55</v>
      </c>
      <c r="E12" s="11" t="n">
        <f aca="false">C12*D12</f>
        <v>110</v>
      </c>
      <c r="F12" s="8" t="s">
        <v>16</v>
      </c>
      <c r="G12" s="9" t="s">
        <v>17</v>
      </c>
      <c r="H12" s="12" t="s">
        <v>18</v>
      </c>
      <c r="I12" s="13" t="s">
        <v>23</v>
      </c>
    </row>
    <row r="13" customFormat="false" ht="25.5" hidden="false" customHeight="true" outlineLevel="0" collapsed="false">
      <c r="A13" s="8" t="n">
        <v>4</v>
      </c>
      <c r="B13" s="8" t="s">
        <v>24</v>
      </c>
      <c r="C13" s="9" t="n">
        <v>1</v>
      </c>
      <c r="D13" s="10" t="n">
        <v>35</v>
      </c>
      <c r="E13" s="11" t="n">
        <f aca="false">C13*D13</f>
        <v>35</v>
      </c>
      <c r="F13" s="8" t="s">
        <v>16</v>
      </c>
      <c r="G13" s="9" t="s">
        <v>17</v>
      </c>
      <c r="H13" s="12" t="s">
        <v>18</v>
      </c>
      <c r="I13" s="13" t="s">
        <v>25</v>
      </c>
    </row>
    <row r="14" customFormat="false" ht="15" hidden="false" customHeight="false" outlineLevel="0" collapsed="false">
      <c r="A14" s="7" t="s">
        <v>26</v>
      </c>
      <c r="B14" s="7"/>
      <c r="C14" s="7"/>
      <c r="D14" s="7"/>
      <c r="E14" s="7"/>
      <c r="F14" s="7"/>
      <c r="G14" s="7"/>
      <c r="H14" s="7"/>
      <c r="I14" s="7"/>
    </row>
    <row r="15" customFormat="false" ht="25.5" hidden="false" customHeight="true" outlineLevel="0" collapsed="false">
      <c r="A15" s="8" t="n">
        <v>5</v>
      </c>
      <c r="B15" s="8" t="s">
        <v>27</v>
      </c>
      <c r="C15" s="9" t="n">
        <v>1</v>
      </c>
      <c r="D15" s="10" t="n">
        <v>135</v>
      </c>
      <c r="E15" s="11" t="n">
        <f aca="false">C15*D15</f>
        <v>135</v>
      </c>
      <c r="F15" s="8" t="s">
        <v>16</v>
      </c>
      <c r="G15" s="9" t="s">
        <v>28</v>
      </c>
      <c r="H15" s="12" t="s">
        <v>29</v>
      </c>
      <c r="I15" s="13" t="s">
        <v>30</v>
      </c>
    </row>
    <row r="16" customFormat="false" ht="25.5" hidden="false" customHeight="true" outlineLevel="0" collapsed="false">
      <c r="A16" s="8" t="n">
        <v>6</v>
      </c>
      <c r="B16" s="8" t="s">
        <v>31</v>
      </c>
      <c r="C16" s="9" t="n">
        <v>1</v>
      </c>
      <c r="D16" s="10" t="n">
        <v>32</v>
      </c>
      <c r="E16" s="11" t="n">
        <f aca="false">C16*D16</f>
        <v>32</v>
      </c>
      <c r="F16" s="8" t="s">
        <v>16</v>
      </c>
      <c r="G16" s="9" t="s">
        <v>32</v>
      </c>
      <c r="H16" s="12" t="s">
        <v>33</v>
      </c>
      <c r="I16" s="13" t="s">
        <v>34</v>
      </c>
    </row>
    <row r="17" customFormat="false" ht="15" hidden="false" customHeight="false" outlineLevel="0" collapsed="false">
      <c r="A17" s="7" t="s">
        <v>35</v>
      </c>
      <c r="B17" s="7"/>
      <c r="C17" s="7"/>
      <c r="D17" s="7"/>
      <c r="E17" s="7"/>
      <c r="F17" s="7"/>
      <c r="G17" s="7"/>
      <c r="H17" s="7"/>
      <c r="I17" s="7"/>
    </row>
    <row r="18" customFormat="false" ht="25.5" hidden="false" customHeight="true" outlineLevel="0" collapsed="false">
      <c r="A18" s="8" t="n">
        <v>7</v>
      </c>
      <c r="B18" s="8" t="s">
        <v>36</v>
      </c>
      <c r="C18" s="9" t="n">
        <v>2</v>
      </c>
      <c r="D18" s="10" t="n">
        <v>45</v>
      </c>
      <c r="E18" s="11" t="n">
        <f aca="false">C18*D18</f>
        <v>90</v>
      </c>
      <c r="F18" s="8" t="s">
        <v>37</v>
      </c>
      <c r="G18" s="9" t="s">
        <v>17</v>
      </c>
      <c r="H18" s="12" t="s">
        <v>38</v>
      </c>
      <c r="I18" s="13" t="s">
        <v>39</v>
      </c>
    </row>
    <row r="19" customFormat="false" ht="25.5" hidden="false" customHeight="true" outlineLevel="0" collapsed="false">
      <c r="A19" s="8" t="n">
        <v>8</v>
      </c>
      <c r="B19" s="8" t="s">
        <v>40</v>
      </c>
      <c r="C19" s="9" t="n">
        <v>2</v>
      </c>
      <c r="D19" s="10" t="n">
        <v>18</v>
      </c>
      <c r="E19" s="11" t="n">
        <f aca="false">C19*D19</f>
        <v>36</v>
      </c>
      <c r="F19" s="8" t="s">
        <v>37</v>
      </c>
      <c r="G19" s="9" t="s">
        <v>17</v>
      </c>
      <c r="H19" s="12" t="s">
        <v>38</v>
      </c>
      <c r="I19" s="13" t="s">
        <v>41</v>
      </c>
    </row>
    <row r="20" customFormat="false" ht="25.5" hidden="false" customHeight="true" outlineLevel="0" collapsed="false">
      <c r="A20" s="8" t="n">
        <v>9</v>
      </c>
      <c r="B20" s="8" t="s">
        <v>42</v>
      </c>
      <c r="C20" s="9" t="n">
        <v>1</v>
      </c>
      <c r="D20" s="10" t="n">
        <v>145</v>
      </c>
      <c r="E20" s="11" t="n">
        <f aca="false">C20*D20</f>
        <v>145</v>
      </c>
      <c r="F20" s="8" t="s">
        <v>37</v>
      </c>
      <c r="G20" s="9" t="s">
        <v>17</v>
      </c>
      <c r="H20" s="12" t="s">
        <v>38</v>
      </c>
      <c r="I20" s="13" t="s">
        <v>43</v>
      </c>
    </row>
    <row r="21" customFormat="false" ht="25.5" hidden="false" customHeight="true" outlineLevel="0" collapsed="false">
      <c r="A21" s="8" t="n">
        <v>10</v>
      </c>
      <c r="B21" s="8" t="s">
        <v>44</v>
      </c>
      <c r="C21" s="9" t="n">
        <v>1</v>
      </c>
      <c r="D21" s="10" t="n">
        <v>18</v>
      </c>
      <c r="E21" s="11" t="n">
        <f aca="false">C21*D21</f>
        <v>18</v>
      </c>
      <c r="F21" s="8" t="s">
        <v>37</v>
      </c>
      <c r="G21" s="9" t="s">
        <v>17</v>
      </c>
      <c r="H21" s="12" t="s">
        <v>38</v>
      </c>
      <c r="I21" s="13" t="s">
        <v>45</v>
      </c>
    </row>
    <row r="22" customFormat="false" ht="25.5" hidden="false" customHeight="true" outlineLevel="0" collapsed="false">
      <c r="A22" s="8" t="n">
        <v>11</v>
      </c>
      <c r="B22" s="8" t="s">
        <v>46</v>
      </c>
      <c r="C22" s="9" t="n">
        <v>1</v>
      </c>
      <c r="D22" s="10" t="n">
        <v>12</v>
      </c>
      <c r="E22" s="11" t="n">
        <f aca="false">C22*D22</f>
        <v>12</v>
      </c>
      <c r="F22" s="8" t="s">
        <v>37</v>
      </c>
      <c r="G22" s="9" t="s">
        <v>17</v>
      </c>
      <c r="H22" s="12" t="s">
        <v>38</v>
      </c>
      <c r="I22" s="13" t="s">
        <v>47</v>
      </c>
    </row>
    <row r="23" customFormat="false" ht="15" hidden="false" customHeight="false" outlineLevel="0" collapsed="false">
      <c r="A23" s="7" t="s">
        <v>48</v>
      </c>
      <c r="B23" s="7"/>
      <c r="C23" s="7"/>
      <c r="D23" s="7"/>
      <c r="E23" s="7"/>
      <c r="F23" s="7"/>
      <c r="G23" s="7"/>
      <c r="H23" s="7"/>
      <c r="I23" s="7"/>
    </row>
    <row r="24" customFormat="false" ht="25.5" hidden="false" customHeight="true" outlineLevel="0" collapsed="false">
      <c r="A24" s="8" t="n">
        <v>12</v>
      </c>
      <c r="B24" s="8" t="s">
        <v>49</v>
      </c>
      <c r="C24" s="9" t="n">
        <v>1</v>
      </c>
      <c r="D24" s="10" t="n">
        <v>8</v>
      </c>
      <c r="E24" s="11" t="n">
        <f aca="false">C24*D24</f>
        <v>8</v>
      </c>
      <c r="F24" s="8" t="s">
        <v>37</v>
      </c>
      <c r="G24" s="9" t="s">
        <v>17</v>
      </c>
      <c r="H24" s="12" t="s">
        <v>38</v>
      </c>
      <c r="I24" s="13" t="s">
        <v>50</v>
      </c>
    </row>
    <row r="25" customFormat="false" ht="25.5" hidden="false" customHeight="true" outlineLevel="0" collapsed="false">
      <c r="A25" s="8" t="n">
        <v>13</v>
      </c>
      <c r="B25" s="8" t="s">
        <v>51</v>
      </c>
      <c r="C25" s="9" t="n">
        <v>2</v>
      </c>
      <c r="D25" s="10" t="n">
        <v>3</v>
      </c>
      <c r="E25" s="11" t="n">
        <f aca="false">C25*D25</f>
        <v>6</v>
      </c>
      <c r="F25" s="8" t="s">
        <v>37</v>
      </c>
      <c r="G25" s="9" t="s">
        <v>17</v>
      </c>
      <c r="H25" s="12" t="s">
        <v>38</v>
      </c>
      <c r="I25" s="13" t="s">
        <v>52</v>
      </c>
    </row>
    <row r="26" customFormat="false" ht="25.5" hidden="false" customHeight="true" outlineLevel="0" collapsed="false">
      <c r="A26" s="8" t="n">
        <v>14</v>
      </c>
      <c r="B26" s="8" t="s">
        <v>53</v>
      </c>
      <c r="C26" s="9" t="n">
        <v>1</v>
      </c>
      <c r="D26" s="10" t="n">
        <v>25</v>
      </c>
      <c r="E26" s="11" t="n">
        <f aca="false">C26*D26</f>
        <v>25</v>
      </c>
      <c r="F26" s="8" t="s">
        <v>37</v>
      </c>
      <c r="G26" s="9" t="s">
        <v>17</v>
      </c>
      <c r="H26" s="12" t="s">
        <v>38</v>
      </c>
      <c r="I26" s="13" t="s">
        <v>54</v>
      </c>
    </row>
    <row r="27" customFormat="false" ht="25.5" hidden="false" customHeight="true" outlineLevel="0" collapsed="false">
      <c r="A27" s="8" t="n">
        <v>15</v>
      </c>
      <c r="B27" s="8" t="s">
        <v>55</v>
      </c>
      <c r="C27" s="9" t="n">
        <v>1</v>
      </c>
      <c r="D27" s="10" t="n">
        <v>15</v>
      </c>
      <c r="E27" s="11" t="n">
        <f aca="false">C27*D27</f>
        <v>15</v>
      </c>
      <c r="F27" s="8" t="s">
        <v>37</v>
      </c>
      <c r="G27" s="9" t="s">
        <v>17</v>
      </c>
      <c r="H27" s="12" t="s">
        <v>38</v>
      </c>
      <c r="I27" s="13" t="s">
        <v>56</v>
      </c>
    </row>
    <row r="28" customFormat="false" ht="25.5" hidden="false" customHeight="true" outlineLevel="0" collapsed="false">
      <c r="A28" s="8" t="n">
        <v>16</v>
      </c>
      <c r="B28" s="8" t="s">
        <v>57</v>
      </c>
      <c r="C28" s="9" t="n">
        <v>1</v>
      </c>
      <c r="D28" s="10" t="n">
        <v>4</v>
      </c>
      <c r="E28" s="11" t="n">
        <f aca="false">C28*D28</f>
        <v>4</v>
      </c>
      <c r="F28" s="8" t="s">
        <v>37</v>
      </c>
      <c r="G28" s="9" t="s">
        <v>17</v>
      </c>
      <c r="H28" s="12" t="s">
        <v>38</v>
      </c>
      <c r="I28" s="13" t="s">
        <v>58</v>
      </c>
    </row>
    <row r="29" customFormat="false" ht="15" hidden="false" customHeight="false" outlineLevel="0" collapsed="false">
      <c r="A29" s="7" t="s">
        <v>59</v>
      </c>
      <c r="B29" s="7"/>
      <c r="C29" s="7"/>
      <c r="D29" s="7"/>
      <c r="E29" s="7"/>
      <c r="F29" s="7"/>
      <c r="G29" s="7"/>
      <c r="H29" s="7"/>
      <c r="I29" s="7"/>
    </row>
    <row r="30" customFormat="false" ht="25.5" hidden="false" customHeight="true" outlineLevel="0" collapsed="false">
      <c r="A30" s="8" t="n">
        <v>17</v>
      </c>
      <c r="B30" s="8" t="s">
        <v>60</v>
      </c>
      <c r="C30" s="9" t="n">
        <v>1</v>
      </c>
      <c r="D30" s="10" t="n">
        <v>75</v>
      </c>
      <c r="E30" s="11" t="n">
        <f aca="false">C30*D30</f>
        <v>75</v>
      </c>
      <c r="F30" s="8" t="s">
        <v>16</v>
      </c>
      <c r="G30" s="9" t="s">
        <v>17</v>
      </c>
      <c r="H30" s="12" t="s">
        <v>18</v>
      </c>
      <c r="I30" s="13" t="s">
        <v>61</v>
      </c>
    </row>
    <row r="31" customFormat="false" ht="25.5" hidden="false" customHeight="true" outlineLevel="0" collapsed="false">
      <c r="A31" s="8" t="n">
        <v>18</v>
      </c>
      <c r="B31" s="8" t="s">
        <v>62</v>
      </c>
      <c r="C31" s="9" t="n">
        <v>1</v>
      </c>
      <c r="D31" s="10" t="n">
        <v>95</v>
      </c>
      <c r="E31" s="11" t="n">
        <f aca="false">C31*D31</f>
        <v>95</v>
      </c>
      <c r="F31" s="8" t="s">
        <v>16</v>
      </c>
      <c r="G31" s="9" t="s">
        <v>17</v>
      </c>
      <c r="H31" s="12" t="s">
        <v>18</v>
      </c>
      <c r="I31" s="13" t="s">
        <v>63</v>
      </c>
    </row>
    <row r="32" customFormat="false" ht="25.5" hidden="false" customHeight="true" outlineLevel="0" collapsed="false">
      <c r="A32" s="8" t="n">
        <v>19</v>
      </c>
      <c r="B32" s="8" t="s">
        <v>64</v>
      </c>
      <c r="C32" s="9" t="n">
        <v>1</v>
      </c>
      <c r="D32" s="10" t="n">
        <v>60</v>
      </c>
      <c r="E32" s="11" t="n">
        <f aca="false">C32*D32</f>
        <v>60</v>
      </c>
      <c r="F32" s="8" t="s">
        <v>37</v>
      </c>
      <c r="G32" s="9" t="s">
        <v>17</v>
      </c>
      <c r="H32" s="12" t="s">
        <v>38</v>
      </c>
      <c r="I32" s="13" t="s">
        <v>65</v>
      </c>
    </row>
    <row r="33" customFormat="false" ht="15" hidden="false" customHeight="false" outlineLevel="0" collapsed="false">
      <c r="A33" s="7" t="s">
        <v>66</v>
      </c>
      <c r="B33" s="7"/>
      <c r="C33" s="7"/>
      <c r="D33" s="7"/>
      <c r="E33" s="7"/>
      <c r="F33" s="7"/>
      <c r="G33" s="7"/>
      <c r="H33" s="7"/>
      <c r="I33" s="7"/>
    </row>
    <row r="34" customFormat="false" ht="25.5" hidden="false" customHeight="true" outlineLevel="0" collapsed="false">
      <c r="A34" s="8" t="n">
        <v>20</v>
      </c>
      <c r="B34" s="8" t="s">
        <v>67</v>
      </c>
      <c r="C34" s="9" t="n">
        <v>1</v>
      </c>
      <c r="D34" s="10" t="n">
        <v>180</v>
      </c>
      <c r="E34" s="11" t="n">
        <f aca="false">C34*D34</f>
        <v>180</v>
      </c>
      <c r="F34" s="8" t="s">
        <v>68</v>
      </c>
      <c r="G34" s="9" t="s">
        <v>17</v>
      </c>
      <c r="H34" s="14" t="s">
        <v>69</v>
      </c>
      <c r="I34" s="13" t="s">
        <v>70</v>
      </c>
    </row>
    <row r="35" customFormat="false" ht="25.5" hidden="false" customHeight="true" outlineLevel="0" collapsed="false">
      <c r="A35" s="8" t="n">
        <v>21</v>
      </c>
      <c r="B35" s="8" t="s">
        <v>71</v>
      </c>
      <c r="C35" s="9" t="n">
        <v>1</v>
      </c>
      <c r="D35" s="10" t="n">
        <v>120</v>
      </c>
      <c r="E35" s="11" t="n">
        <f aca="false">C35*D35</f>
        <v>120</v>
      </c>
      <c r="F35" s="8" t="s">
        <v>37</v>
      </c>
      <c r="G35" s="9" t="s">
        <v>17</v>
      </c>
      <c r="H35" s="12" t="s">
        <v>38</v>
      </c>
      <c r="I35" s="13" t="s">
        <v>72</v>
      </c>
    </row>
    <row r="36" customFormat="false" ht="25.5" hidden="false" customHeight="true" outlineLevel="0" collapsed="false">
      <c r="A36" s="8" t="n">
        <v>22</v>
      </c>
      <c r="B36" s="8" t="s">
        <v>73</v>
      </c>
      <c r="C36" s="9" t="n">
        <v>1</v>
      </c>
      <c r="D36" s="10" t="n">
        <v>85</v>
      </c>
      <c r="E36" s="11" t="n">
        <f aca="false">C36*D36</f>
        <v>85</v>
      </c>
      <c r="F36" s="8" t="s">
        <v>37</v>
      </c>
      <c r="G36" s="9" t="s">
        <v>17</v>
      </c>
      <c r="H36" s="12" t="s">
        <v>38</v>
      </c>
      <c r="I36" s="13" t="s">
        <v>74</v>
      </c>
    </row>
    <row r="37" customFormat="false" ht="25.5" hidden="false" customHeight="true" outlineLevel="0" collapsed="false">
      <c r="A37" s="8" t="n">
        <v>23</v>
      </c>
      <c r="B37" s="8" t="s">
        <v>75</v>
      </c>
      <c r="C37" s="9" t="n">
        <v>1</v>
      </c>
      <c r="D37" s="10" t="n">
        <v>25</v>
      </c>
      <c r="E37" s="11" t="n">
        <f aca="false">C37*D37</f>
        <v>25</v>
      </c>
      <c r="F37" s="8" t="s">
        <v>76</v>
      </c>
      <c r="G37" s="9" t="s">
        <v>17</v>
      </c>
      <c r="H37" s="14" t="s">
        <v>69</v>
      </c>
      <c r="I37" s="13" t="s">
        <v>77</v>
      </c>
    </row>
    <row r="38" customFormat="false" ht="25.5" hidden="false" customHeight="true" outlineLevel="0" collapsed="false">
      <c r="A38" s="8" t="n">
        <v>24</v>
      </c>
      <c r="B38" s="8" t="s">
        <v>78</v>
      </c>
      <c r="C38" s="9" t="n">
        <v>1</v>
      </c>
      <c r="D38" s="10" t="n">
        <v>30</v>
      </c>
      <c r="E38" s="11" t="n">
        <f aca="false">C38*D38</f>
        <v>30</v>
      </c>
      <c r="F38" s="8" t="s">
        <v>16</v>
      </c>
      <c r="G38" s="9" t="s">
        <v>17</v>
      </c>
      <c r="H38" s="12" t="s">
        <v>18</v>
      </c>
      <c r="I38" s="13" t="s">
        <v>79</v>
      </c>
    </row>
    <row r="40" customFormat="false" ht="15" hidden="false" customHeight="false" outlineLevel="0" collapsed="false">
      <c r="B40" s="15" t="s">
        <v>80</v>
      </c>
      <c r="E40" s="16" t="n">
        <f aca="false">SUM(E10:E38)</f>
        <v>1676</v>
      </c>
    </row>
    <row r="41" customFormat="false" ht="22.35" hidden="false" customHeight="false" outlineLevel="0" collapsed="false">
      <c r="B41" s="17" t="s">
        <v>81</v>
      </c>
      <c r="D41" s="18" t="n">
        <v>0.1</v>
      </c>
      <c r="E41" s="19" t="n">
        <f aca="false">E40*D41</f>
        <v>167.6</v>
      </c>
      <c r="I41" s="20" t="s">
        <v>82</v>
      </c>
    </row>
    <row r="42" customFormat="false" ht="24" hidden="false" customHeight="true" outlineLevel="0" collapsed="false">
      <c r="B42" s="21" t="s">
        <v>83</v>
      </c>
      <c r="C42" s="22"/>
      <c r="D42" s="22"/>
      <c r="E42" s="23" t="n">
        <f aca="false">E40+E41</f>
        <v>1843.6</v>
      </c>
      <c r="F42" s="24" t="s">
        <v>84</v>
      </c>
    </row>
    <row r="44" customFormat="false" ht="15" hidden="false" customHeight="false" outlineLevel="0" collapsed="false">
      <c r="B44" s="4" t="s">
        <v>85</v>
      </c>
      <c r="E44" s="25" t="n">
        <f aca="false">SUM(C10:C38)</f>
        <v>28</v>
      </c>
    </row>
    <row r="45" customFormat="false" ht="15" hidden="false" customHeight="false" outlineLevel="0" collapsed="false">
      <c r="B45" s="4" t="s">
        <v>86</v>
      </c>
      <c r="E45" s="25" t="n">
        <f aca="false">COUNT(E10:E38)</f>
        <v>24</v>
      </c>
    </row>
  </sheetData>
  <mergeCells count="7">
    <mergeCell ref="A6:I6"/>
    <mergeCell ref="A9:I9"/>
    <mergeCell ref="A14:I14"/>
    <mergeCell ref="A17:I17"/>
    <mergeCell ref="A23:I23"/>
    <mergeCell ref="A29:I29"/>
    <mergeCell ref="A33:I33"/>
  </mergeCells>
  <hyperlinks>
    <hyperlink ref="H10" r:id="rId2" display="https://www.robotics.org.za/"/>
    <hyperlink ref="H11" r:id="rId3" display="https://www.robotics.org.za/"/>
    <hyperlink ref="H12" r:id="rId4" display="https://www.robotics.org.za/"/>
    <hyperlink ref="H13" r:id="rId5" display="https://www.robotics.org.za/"/>
    <hyperlink ref="H15" r:id="rId6" display="https://www.robotics.org.za/TRCT5000-4C"/>
    <hyperlink ref="H16" r:id="rId7" display="https://www.robotics.org.za/TCRT5000-ADJ"/>
    <hyperlink ref="H18" r:id="rId8" display="https://www.communica.co.za/"/>
    <hyperlink ref="H19" r:id="rId9" display="https://www.communica.co.za/"/>
    <hyperlink ref="H20" r:id="rId10" display="https://www.communica.co.za/"/>
    <hyperlink ref="H21" r:id="rId11" display="https://www.communica.co.za/"/>
    <hyperlink ref="H22" r:id="rId12" display="https://www.communica.co.za/"/>
    <hyperlink ref="H24" r:id="rId13" display="https://www.communica.co.za/"/>
    <hyperlink ref="H25" r:id="rId14" display="https://www.communica.co.za/"/>
    <hyperlink ref="H26" r:id="rId15" display="https://www.communica.co.za/"/>
    <hyperlink ref="H27" r:id="rId16" display="https://www.communica.co.za/"/>
    <hyperlink ref="H28" r:id="rId17" display="https://www.communica.co.za/"/>
    <hyperlink ref="H30" r:id="rId18" display="https://www.robotics.org.za/"/>
    <hyperlink ref="H31" r:id="rId19" display="https://www.robotics.org.za/"/>
    <hyperlink ref="H32" r:id="rId20" display="https://www.communica.co.za/"/>
    <hyperlink ref="H35" r:id="rId21" display="https://www.communica.co.za/"/>
    <hyperlink ref="H36" r:id="rId22" display="https://www.communica.co.za/"/>
    <hyperlink ref="H38" r:id="rId23" display="https://www.robotics.org.za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26" t="s">
        <v>87</v>
      </c>
    </row>
    <row r="2" customFormat="false" ht="15" hidden="false" customHeight="false" outlineLevel="0" collapsed="false">
      <c r="A2" s="3" t="s">
        <v>88</v>
      </c>
    </row>
    <row r="4" customFormat="false" ht="15" hidden="false" customHeight="false" outlineLevel="0" collapsed="false">
      <c r="A4" s="27" t="s">
        <v>89</v>
      </c>
      <c r="B4" s="27" t="s">
        <v>90</v>
      </c>
      <c r="C4" s="27" t="s">
        <v>91</v>
      </c>
      <c r="D4" s="27" t="s">
        <v>92</v>
      </c>
    </row>
    <row r="5" customFormat="false" ht="30" hidden="false" customHeight="true" outlineLevel="0" collapsed="false">
      <c r="A5" s="8" t="s">
        <v>93</v>
      </c>
      <c r="B5" s="11" t="n">
        <f aca="false">SUM('Bill of Materials'!E10:E13)</f>
        <v>480</v>
      </c>
      <c r="C5" s="28" t="n">
        <f aca="false">IF('Bill of Materials'!$E$40=0,0,B5/'Bill of Materials'!$E$40)</f>
        <v>0.286396181384248</v>
      </c>
      <c r="D5" s="13" t="s">
        <v>94</v>
      </c>
    </row>
    <row r="6" customFormat="false" ht="30" hidden="false" customHeight="true" outlineLevel="0" collapsed="false">
      <c r="A6" s="8" t="s">
        <v>95</v>
      </c>
      <c r="B6" s="11" t="n">
        <f aca="false">SUM('Bill of Materials'!E15:E16)</f>
        <v>167</v>
      </c>
      <c r="C6" s="28" t="n">
        <f aca="false">IF('Bill of Materials'!$E$40=0,0,B6/'Bill of Materials'!$E$40)</f>
        <v>0.0996420047732697</v>
      </c>
      <c r="D6" s="13" t="s">
        <v>96</v>
      </c>
    </row>
    <row r="7" customFormat="false" ht="30" hidden="false" customHeight="true" outlineLevel="0" collapsed="false">
      <c r="A7" s="8" t="s">
        <v>97</v>
      </c>
      <c r="B7" s="11" t="n">
        <f aca="false">SUM('Bill of Materials'!E18:E22)</f>
        <v>301</v>
      </c>
      <c r="C7" s="28" t="n">
        <f aca="false">IF('Bill of Materials'!$E$40=0,0,B7/'Bill of Materials'!$E$40)</f>
        <v>0.179594272076372</v>
      </c>
      <c r="D7" s="13" t="s">
        <v>98</v>
      </c>
    </row>
    <row r="8" customFormat="false" ht="30" hidden="false" customHeight="true" outlineLevel="0" collapsed="false">
      <c r="A8" s="8" t="s">
        <v>99</v>
      </c>
      <c r="B8" s="11" t="n">
        <f aca="false">SUM('Bill of Materials'!E24:E28)</f>
        <v>58</v>
      </c>
      <c r="C8" s="28" t="n">
        <f aca="false">IF('Bill of Materials'!$E$40=0,0,B8/'Bill of Materials'!$E$40)</f>
        <v>0.0346062052505967</v>
      </c>
      <c r="D8" s="13" t="s">
        <v>100</v>
      </c>
    </row>
    <row r="9" customFormat="false" ht="30" hidden="false" customHeight="true" outlineLevel="0" collapsed="false">
      <c r="A9" s="8" t="s">
        <v>101</v>
      </c>
      <c r="B9" s="11" t="n">
        <f aca="false">SUM('Bill of Materials'!E30:E32)</f>
        <v>230</v>
      </c>
      <c r="C9" s="28" t="n">
        <f aca="false">IF('Bill of Materials'!$E$40=0,0,B9/'Bill of Materials'!$E$40)</f>
        <v>0.137231503579952</v>
      </c>
      <c r="D9" s="13" t="s">
        <v>102</v>
      </c>
    </row>
    <row r="10" customFormat="false" ht="30" hidden="false" customHeight="true" outlineLevel="0" collapsed="false">
      <c r="A10" s="8" t="s">
        <v>103</v>
      </c>
      <c r="B10" s="11" t="n">
        <f aca="false">SUM('Bill of Materials'!E34:E38)</f>
        <v>440</v>
      </c>
      <c r="C10" s="28" t="n">
        <f aca="false">IF('Bill of Materials'!$E$40=0,0,B10/'Bill of Materials'!$E$40)</f>
        <v>0.262529832935561</v>
      </c>
      <c r="D10" s="13" t="s">
        <v>104</v>
      </c>
    </row>
    <row r="11" customFormat="false" ht="15" hidden="false" customHeight="false" outlineLevel="0" collapsed="false">
      <c r="A11" s="15" t="s">
        <v>80</v>
      </c>
      <c r="B11" s="16" t="n">
        <f aca="false">SUM(B5:B10)</f>
        <v>1676</v>
      </c>
      <c r="C11" s="29" t="n">
        <f aca="false">SUM(C5:C10)</f>
        <v>1</v>
      </c>
    </row>
    <row r="12" customFormat="false" ht="15" hidden="false" customHeight="false" outlineLevel="0" collapsed="false">
      <c r="A12" s="17" t="s">
        <v>105</v>
      </c>
      <c r="B12" s="19" t="n">
        <f aca="false">'Bill of Materials'!E41</f>
        <v>167.6</v>
      </c>
    </row>
    <row r="13" customFormat="false" ht="16.15" hidden="false" customHeight="false" outlineLevel="0" collapsed="false">
      <c r="A13" s="30" t="s">
        <v>83</v>
      </c>
      <c r="B13" s="31" t="n">
        <f aca="false">'Bill of Materials'!E42</f>
        <v>1843.6</v>
      </c>
    </row>
    <row r="16" customFormat="false" ht="15" hidden="false" customHeight="false" outlineLevel="0" collapsed="false">
      <c r="A16" s="15" t="s">
        <v>106</v>
      </c>
    </row>
    <row r="17" customFormat="false" ht="15" hidden="false" customHeight="false" outlineLevel="0" collapsed="false">
      <c r="A17" s="4" t="s">
        <v>107</v>
      </c>
      <c r="B17" s="32" t="s">
        <v>108</v>
      </c>
      <c r="C17" s="32"/>
      <c r="D17" s="32"/>
    </row>
    <row r="18" customFormat="false" ht="15" hidden="false" customHeight="false" outlineLevel="0" collapsed="false">
      <c r="A18" s="4" t="s">
        <v>109</v>
      </c>
      <c r="B18" s="32" t="s">
        <v>110</v>
      </c>
      <c r="C18" s="32"/>
      <c r="D18" s="32"/>
    </row>
    <row r="19" customFormat="false" ht="15" hidden="false" customHeight="false" outlineLevel="0" collapsed="false">
      <c r="A19" s="4" t="s">
        <v>111</v>
      </c>
      <c r="B19" s="32" t="s">
        <v>112</v>
      </c>
      <c r="C19" s="32"/>
      <c r="D19" s="32"/>
    </row>
    <row r="20" customFormat="false" ht="15" hidden="false" customHeight="false" outlineLevel="0" collapsed="false">
      <c r="A20" s="4" t="s">
        <v>113</v>
      </c>
      <c r="B20" s="32" t="s">
        <v>114</v>
      </c>
      <c r="C20" s="32"/>
      <c r="D20" s="32"/>
    </row>
  </sheetData>
  <mergeCells count="4">
    <mergeCell ref="B17:D17"/>
    <mergeCell ref="B18:D18"/>
    <mergeCell ref="B19:D19"/>
    <mergeCell ref="B20:D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2026-09-09T11:18:47Z</dcterms:created>
  <dc:creator>openpyxl</dc:creator>
  <dc:description/>
  <dc:language>en-US</dc:language>
  <cp:lastModifiedBy/>
  <dcterms:modified xsi:type="dcterms:W3CDTF">2026-09-09T11:18:47Z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