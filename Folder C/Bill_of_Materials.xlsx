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roborumble\Folder C\"/>
    </mc:Choice>
  </mc:AlternateContent>
  <xr:revisionPtr revIDLastSave="0" documentId="13_ncr:1_{0F0D35B2-3571-44CF-9590-A0D6BF0CE2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ill of Materials" sheetId="1" r:id="rId1"/>
    <sheet name="Cost by category" sheetId="2" r:id="rId2"/>
  </sheets>
  <definedNames>
    <definedName name="_xlnm.Print_Titles" localSheetId="0">'Bill of Materials'!$8:$8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E45" i="1"/>
  <c r="E44" i="1"/>
  <c r="E38" i="1"/>
  <c r="E37" i="1"/>
  <c r="E36" i="1"/>
  <c r="E35" i="1"/>
  <c r="E34" i="1"/>
  <c r="E32" i="1"/>
  <c r="E31" i="1"/>
  <c r="E30" i="1"/>
  <c r="E28" i="1"/>
  <c r="E27" i="1"/>
  <c r="E26" i="1"/>
  <c r="E25" i="1"/>
  <c r="E24" i="1"/>
  <c r="B8" i="2" s="1"/>
  <c r="E22" i="1"/>
  <c r="E21" i="1"/>
  <c r="E20" i="1"/>
  <c r="E19" i="1"/>
  <c r="B7" i="2" s="1"/>
  <c r="E18" i="1"/>
  <c r="E16" i="1"/>
  <c r="E15" i="1"/>
  <c r="B6" i="2" s="1"/>
  <c r="E13" i="1"/>
  <c r="E12" i="1"/>
  <c r="E11" i="1"/>
  <c r="E10" i="1"/>
  <c r="B5" i="2" s="1"/>
  <c r="B11" i="2" s="1"/>
  <c r="E40" i="1" l="1"/>
  <c r="E41" i="1" l="1"/>
  <c r="B12" i="2" s="1"/>
  <c r="C5" i="2"/>
  <c r="C11" i="2" s="1"/>
  <c r="C10" i="2"/>
  <c r="C9" i="2"/>
  <c r="C6" i="2"/>
  <c r="C8" i="2"/>
  <c r="C7" i="2"/>
  <c r="E42" i="1" l="1"/>
  <c r="B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0" authorId="0" shapeId="0" xr:uid="{00000000-0006-0000-0000-000002000000}">
      <text>
        <r>
          <rPr>
            <sz val="10"/>
            <rFont val="Arial"/>
            <family val="2"/>
          </rPr>
          <t>Sum of every line total above. Updates automatically when a quantity or unit price is edited.</t>
        </r>
      </text>
    </comment>
    <comment ref="D41" authorId="0" shapeId="0" xr:uid="{00000000-0006-0000-0000-000001000000}">
      <text>
        <r>
          <rPr>
            <sz val="10"/>
            <rFont val="Arial"/>
            <family val="2"/>
          </rPr>
          <t>Assumption: 10% contingency. Covers one spare 5-channel sensor array and one spare TT motor — the two parts most likely to be damaged during track testing. Adjust as your budget allows.</t>
        </r>
      </text>
    </comment>
  </commentList>
</comments>
</file>

<file path=xl/sharedStrings.xml><?xml version="1.0" encoding="utf-8"?>
<sst xmlns="http://schemas.openxmlformats.org/spreadsheetml/2006/main" count="175" uniqueCount="113">
  <si>
    <t>LIGHTNING McQUEEN  —  BILL OF MATERIALS</t>
  </si>
  <si>
    <t>Team CO Coders  ·  Robo Rumble 2026  ·  Robo Grand Prix  ·  Elimination Round submission</t>
  </si>
  <si>
    <t>#</t>
  </si>
  <si>
    <t>Component</t>
  </si>
  <si>
    <t>Qty</t>
  </si>
  <si>
    <t>Cost per unit (ZAR)</t>
  </si>
  <si>
    <t>Line total (ZAR)</t>
  </si>
  <si>
    <t>Supplier</t>
  </si>
  <si>
    <t>Supplier stock code</t>
  </si>
  <si>
    <t>Direct link to buy</t>
  </si>
  <si>
    <t>Function / justification</t>
  </si>
  <si>
    <t>CONTROL &amp; DRIVE ELECTRONICS</t>
  </si>
  <si>
    <t>Arduino Uno R3 (ATmega328P, 16 MHz)</t>
  </si>
  <si>
    <t>Micro Robotics</t>
  </si>
  <si>
    <t>VERIFY</t>
  </si>
  <si>
    <t>https://www.robotics.org.za/</t>
  </si>
  <si>
    <t>Control unit. 5 ADC channels + Timer1 PWM.</t>
  </si>
  <si>
    <t>L298N dual H-bridge motor driver module</t>
  </si>
  <si>
    <t>2 A/channel. On-board 78M05 supplies the 5 V logic rail.</t>
  </si>
  <si>
    <t>TT gear motor 1:48 with 65 mm wheel</t>
  </si>
  <si>
    <t>Drive. ~170 rpm loaded on 9 V.</t>
  </si>
  <si>
    <t>Ball castor, 20 mm</t>
  </si>
  <si>
    <t>Tail support.</t>
  </si>
  <si>
    <t>SENSING</t>
  </si>
  <si>
    <t>TCRT5000 5-channel reflective array module</t>
  </si>
  <si>
    <t>TRCT5000-4C</t>
  </si>
  <si>
    <t>https://www.robotics.org.za/TRCT5000-4C</t>
  </si>
  <si>
    <t>Line sensing. 20 mm pitch, mounted at 12 mm ride height.</t>
  </si>
  <si>
    <t>TCRT5000 single adjustable module (spare)</t>
  </si>
  <si>
    <t>TCRT5000-ADJ</t>
  </si>
  <si>
    <t>https://www.robotics.org.za/TCRT5000-ADJ</t>
  </si>
  <si>
    <t>Spare / bench-test channel.</t>
  </si>
  <si>
    <t>POWER &amp; SAFETY</t>
  </si>
  <si>
    <t>9 V PP3 alkaline battery</t>
  </si>
  <si>
    <t>Communica</t>
  </si>
  <si>
    <t>https://www.communica.co.za/</t>
  </si>
  <si>
    <t>2 cells in series-parallel: 9 V, ~1.2 Ah.</t>
  </si>
  <si>
    <t>9 V PP3 battery holder with flying leads</t>
  </si>
  <si>
    <t>Hook-and-loop mounted for fast swaps between heats.</t>
  </si>
  <si>
    <t>22 mm latching mushroom E-Stop, NC contact</t>
  </si>
  <si>
    <t>MANDATORY - Universal Design Constraint 4. First device in the battery positive line.</t>
  </si>
  <si>
    <t>SPST rocker switch, panel mount</t>
  </si>
  <si>
    <t>MANDATORY - Universal Design Constraint 3. Rear-left corner of the deck.</t>
  </si>
  <si>
    <t>Resettable polyfuse, 2 A hold</t>
  </si>
  <si>
    <t>Overcurrent protection ahead of the E-Stop.</t>
  </si>
  <si>
    <t>INDICATION &amp; PASSIVES</t>
  </si>
  <si>
    <t>Momentary pushbutton (ARM)</t>
  </si>
  <si>
    <t>Pre-run arm button, INPUT_PULLUP.</t>
  </si>
  <si>
    <t>5 mm LED (power + status)</t>
  </si>
  <si>
    <t>D1 power-on, D2 state blink codes.</t>
  </si>
  <si>
    <t>Resistor assortment (220 R, 1 k)</t>
  </si>
  <si>
    <t>LED current limiting.</t>
  </si>
  <si>
    <t>Piezo buzzer, 5 V</t>
  </si>
  <si>
    <t>Audible arm, countdown and fault.</t>
  </si>
  <si>
    <t>Electrolytic capacitor, 100 uF 16 V</t>
  </si>
  <si>
    <t>5 V rail bulk decoupling.</t>
  </si>
  <si>
    <t>INTERCONNECT</t>
  </si>
  <si>
    <t>830-point solderless breadboard</t>
  </si>
  <si>
    <t>Main interconnect, deck centreline.</t>
  </si>
  <si>
    <t>Jumper wire set (M-M / M-F, 120 pcs)</t>
  </si>
  <si>
    <t>Wiring loom.</t>
  </si>
  <si>
    <t>Heat-shrink assortment and solder</t>
  </si>
  <si>
    <t>Loom termination.</t>
  </si>
  <si>
    <t>CHASSIS &amp; HARDWARE</t>
  </si>
  <si>
    <t>Cast acrylic sheet 3 mm, 300 x 200 mm, laser cut to DXF</t>
  </si>
  <si>
    <t>Local laser-cutting service</t>
  </si>
  <si>
    <t>local supply — see note</t>
  </si>
  <si>
    <t>Deck plate. Cut from Folder B/Mechanical Design/CAD/deck_plate_laser_cut.dxf</t>
  </si>
  <si>
    <t>M3 nylon standoff kit (8 mm and 30 mm)</t>
  </si>
  <si>
    <t>Nylon, not steel - steel standoffs beside the IR emitters reflect.</t>
  </si>
  <si>
    <t>M3 bolts and nyloc nuts assortment</t>
  </si>
  <si>
    <t>Every joint bolted, none glued.</t>
  </si>
  <si>
    <t>Hook-and-loop strap, 25 mm</t>
  </si>
  <si>
    <t>Local hardware</t>
  </si>
  <si>
    <t>Battery pack retention - 10 second swap.</t>
  </si>
  <si>
    <t>PLA filament for the E-Stop mast (est. 40 g)</t>
  </si>
  <si>
    <t>3D printed, 30 mm dia x 48 mm, 4 perimeters, 40% infill.</t>
  </si>
  <si>
    <t>Subtotal — components</t>
  </si>
  <si>
    <t>Contingency — spares and breakage (10%)</t>
  </si>
  <si>
    <t>One spare sensor array and one spare TT motor cover the two parts most likely to be damaged in testing.</t>
  </si>
  <si>
    <t>TOTAL COST OF IMPLEMENTATION</t>
  </si>
  <si>
    <t>◄ TOTAL, IN RED AS REQUIRED</t>
  </si>
  <si>
    <t>Unit count</t>
  </si>
  <si>
    <t>Line items</t>
  </si>
  <si>
    <t>COST BY CATEGORY</t>
  </si>
  <si>
    <t>Derived from the Bill of Materials sheet — no numbers are typed here.</t>
  </si>
  <si>
    <t>Category</t>
  </si>
  <si>
    <t>Cost (ZAR)</t>
  </si>
  <si>
    <t>Share of total</t>
  </si>
  <si>
    <t>Note</t>
  </si>
  <si>
    <t>Control &amp; drive electronics</t>
  </si>
  <si>
    <t>The Uno and L298N are the two parts a judge will ask about; both were chosen for availability over outright performance.</t>
  </si>
  <si>
    <t>Sensing</t>
  </si>
  <si>
    <t>Five analog channels rather than three digital ones — the single most consequential electronic decision on the car.</t>
  </si>
  <si>
    <t>Power &amp; safety</t>
  </si>
  <si>
    <t>Includes both mandatory safety devices. The E-Stop is the most expensive single item and is not negotiable.</t>
  </si>
  <si>
    <t>Indication &amp; passives</t>
  </si>
  <si>
    <t>Cheap, and what lets a marshal read the car's state from the side of the track.</t>
  </si>
  <si>
    <t>Interconnect</t>
  </si>
  <si>
    <t>The 830-point breadboard our concept committed to, plus the loom.</t>
  </si>
  <si>
    <t>Chassis &amp; hardware</t>
  </si>
  <si>
    <t>Laser cutting is the largest line here and buys dimensional accuracy we cannot get by hand.</t>
  </si>
  <si>
    <t>Contingency (10%)</t>
  </si>
  <si>
    <t>COMPETITION COMPLIANCE</t>
  </si>
  <si>
    <t>Footprint</t>
  </si>
  <si>
    <t>300 × 211 × 107 mm against a 500 × 500 mm limit</t>
  </si>
  <si>
    <t>Mass</t>
  </si>
  <si>
    <t>0.86 kg against a 5 kg limit (17% of the allowance)</t>
  </si>
  <si>
    <t>ON/OFF switch</t>
  </si>
  <si>
    <t>SW2, SPST rocker — line 10 of the BOM</t>
  </si>
  <si>
    <t>Emergency Stop</t>
  </si>
  <si>
    <t>SW1, 22 mm latching NC — line 9 of the BOM</t>
  </si>
  <si>
    <t>All prices in South African Rand 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</si>
</sst>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color rgb="FF5B6470"/>
      <name val="Arial"/>
      <charset val="1"/>
    </font>
    <font>
      <i/>
      <sz val="10"/>
      <color rgb="FF5B6470"/>
      <name val="Arial"/>
      <charset val="1"/>
    </font>
    <font>
      <b/>
      <sz val="10"/>
      <color rgb="FF1B1F24"/>
      <name val="Arial"/>
      <charset val="1"/>
    </font>
    <font>
      <sz val="10"/>
      <color rgb="FF1B1F24"/>
      <name val="Arial"/>
      <charset val="1"/>
    </font>
    <font>
      <b/>
      <sz val="10"/>
      <color rgb="FFFFFFFF"/>
      <name val="Arial"/>
      <charset val="1"/>
    </font>
    <font>
      <b/>
      <sz val="9.5"/>
      <color rgb="FF1F3864"/>
      <name val="Arial"/>
      <charset val="1"/>
    </font>
    <font>
      <sz val="10"/>
      <color rgb="FF0000FF"/>
      <name val="Arial"/>
      <charset val="1"/>
    </font>
    <font>
      <u/>
      <sz val="9"/>
      <color rgb="FF0563C1"/>
      <name val="Arial"/>
      <charset val="1"/>
    </font>
    <font>
      <sz val="9"/>
      <color rgb="FF404040"/>
      <name val="Arial"/>
      <charset val="1"/>
    </font>
    <font>
      <i/>
      <sz val="9"/>
      <color rgb="FF5B6470"/>
      <name val="Arial"/>
      <charset val="1"/>
    </font>
    <font>
      <b/>
      <sz val="11"/>
      <color rgb="FF1B1F24"/>
      <name val="Arial"/>
      <charset val="1"/>
    </font>
    <font>
      <sz val="11"/>
      <color rgb="FF1B1F24"/>
      <name val="Arial"/>
      <charset val="1"/>
    </font>
    <font>
      <sz val="11"/>
      <color rgb="FF0000FF"/>
      <name val="Arial"/>
      <charset val="1"/>
    </font>
    <font>
      <b/>
      <sz val="13"/>
      <color rgb="FFFF0000"/>
      <name val="Arial"/>
      <charset val="1"/>
    </font>
    <font>
      <b/>
      <sz val="14"/>
      <color rgb="FFFF0000"/>
      <name val="Arial"/>
      <charset val="1"/>
    </font>
    <font>
      <b/>
      <sz val="10"/>
      <color rgb="FFFF0000"/>
      <name val="Arial"/>
      <charset val="1"/>
    </font>
    <font>
      <sz val="10"/>
      <name val="Arial"/>
      <family val="2"/>
    </font>
    <font>
      <b/>
      <sz val="14"/>
      <color rgb="FF1F3864"/>
      <name val="Arial"/>
      <charset val="1"/>
    </font>
    <font>
      <b/>
      <sz val="12"/>
      <color rgb="FFFF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EDEDED"/>
        <bgColor rgb="FFD9E2F3"/>
      </patternFill>
    </fill>
    <fill>
      <patternFill patternType="solid">
        <fgColor rgb="FFD9E2F3"/>
        <bgColor rgb="FFEDEDED"/>
      </patternFill>
    </fill>
    <fill>
      <patternFill patternType="solid">
        <fgColor rgb="FFFFF2CC"/>
        <b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double">
        <color rgb="FFFF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Border="1"/>
    <xf numFmtId="0" fontId="7" fillId="4" borderId="2" xfId="0" applyFont="1" applyFill="1" applyBorder="1"/>
    <xf numFmtId="0" fontId="5" fillId="2" borderId="0" xfId="0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8" fillId="2" borderId="2" xfId="0" applyFont="1" applyFill="1" applyBorder="1"/>
    <xf numFmtId="0" fontId="8" fillId="2" borderId="2" xfId="0" applyFont="1" applyFill="1" applyBorder="1"/>
    <xf numFmtId="0" fontId="5" fillId="0" borderId="2" xfId="0" applyFont="1" applyBorder="1"/>
    <xf numFmtId="0" fontId="9" fillId="0" borderId="2" xfId="0" applyFont="1" applyBorder="1"/>
    <xf numFmtId="0" fontId="10" fillId="0" borderId="2" xfId="0" applyFont="1" applyBorder="1" applyAlignment="1">
      <alignment vertical="top" wrapText="1"/>
    </xf>
    <xf numFmtId="0" fontId="11" fillId="0" borderId="2" xfId="0" applyFont="1" applyBorder="1"/>
    <xf numFmtId="0" fontId="12" fillId="0" borderId="0" xfId="0" applyFont="1"/>
    <xf numFmtId="0" fontId="12" fillId="5" borderId="0" xfId="0" applyFont="1" applyFill="1"/>
    <xf numFmtId="0" fontId="13" fillId="0" borderId="0" xfId="0" applyFont="1"/>
    <xf numFmtId="164" fontId="14" fillId="2" borderId="0" xfId="0" applyNumberFormat="1" applyFont="1" applyFill="1"/>
    <xf numFmtId="0" fontId="13" fillId="0" borderId="0" xfId="0" applyFont="1"/>
    <xf numFmtId="0" fontId="10" fillId="0" borderId="0" xfId="0" applyFont="1" applyAlignment="1">
      <alignment vertical="top" wrapText="1"/>
    </xf>
    <xf numFmtId="0" fontId="15" fillId="0" borderId="3" xfId="0" applyFont="1" applyBorder="1"/>
    <xf numFmtId="0" fontId="0" fillId="0" borderId="3" xfId="0" applyBorder="1"/>
    <xf numFmtId="0" fontId="16" fillId="6" borderId="3" xfId="0" applyFont="1" applyFill="1" applyBorder="1"/>
    <xf numFmtId="0" fontId="17" fillId="0" borderId="0" xfId="0" applyFont="1"/>
    <xf numFmtId="0" fontId="5" fillId="0" borderId="0" xfId="0" applyFont="1"/>
    <xf numFmtId="0" fontId="19" fillId="0" borderId="0" xfId="0" applyFont="1"/>
    <xf numFmtId="0" fontId="6" fillId="3" borderId="2" xfId="0" applyFont="1" applyFill="1" applyBorder="1" applyAlignment="1">
      <alignment horizontal="center"/>
    </xf>
    <xf numFmtId="164" fontId="5" fillId="0" borderId="2" xfId="0" applyNumberFormat="1" applyFont="1" applyBorder="1"/>
    <xf numFmtId="164" fontId="12" fillId="0" borderId="0" xfId="0" applyNumberFormat="1" applyFont="1"/>
    <xf numFmtId="0" fontId="20" fillId="0" borderId="0" xfId="0" applyFont="1"/>
    <xf numFmtId="0" fontId="1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1F3864"/>
      <rgbColor rgb="FF339966"/>
      <rgbColor rgb="FF003300"/>
      <rgbColor rgb="FF1B1F24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unica.co.za/" TargetMode="External"/><Relationship Id="rId13" Type="http://schemas.openxmlformats.org/officeDocument/2006/relationships/hyperlink" Target="https://www.communica.co.za/" TargetMode="External"/><Relationship Id="rId18" Type="http://schemas.openxmlformats.org/officeDocument/2006/relationships/hyperlink" Target="https://www.robotics.org.za/" TargetMode="External"/><Relationship Id="rId3" Type="http://schemas.openxmlformats.org/officeDocument/2006/relationships/hyperlink" Target="https://www.robotics.org.za/" TargetMode="External"/><Relationship Id="rId21" Type="http://schemas.openxmlformats.org/officeDocument/2006/relationships/hyperlink" Target="https://www.communica.co.za/" TargetMode="External"/><Relationship Id="rId7" Type="http://schemas.openxmlformats.org/officeDocument/2006/relationships/hyperlink" Target="https://www.communica.co.za/" TargetMode="External"/><Relationship Id="rId12" Type="http://schemas.openxmlformats.org/officeDocument/2006/relationships/hyperlink" Target="https://www.communica.co.za/" TargetMode="External"/><Relationship Id="rId17" Type="http://schemas.openxmlformats.org/officeDocument/2006/relationships/hyperlink" Target="https://www.robotics.org.za/" TargetMode="External"/><Relationship Id="rId2" Type="http://schemas.openxmlformats.org/officeDocument/2006/relationships/hyperlink" Target="https://www.robotics.org.za/" TargetMode="External"/><Relationship Id="rId16" Type="http://schemas.openxmlformats.org/officeDocument/2006/relationships/hyperlink" Target="https://www.communica.co.za/" TargetMode="External"/><Relationship Id="rId20" Type="http://schemas.openxmlformats.org/officeDocument/2006/relationships/hyperlink" Target="https://www.communica.co.za/" TargetMode="External"/><Relationship Id="rId1" Type="http://schemas.openxmlformats.org/officeDocument/2006/relationships/hyperlink" Target="https://www.robotics.org.za/" TargetMode="External"/><Relationship Id="rId6" Type="http://schemas.openxmlformats.org/officeDocument/2006/relationships/hyperlink" Target="https://www.robotics.org.za/TCRT5000-ADJ" TargetMode="External"/><Relationship Id="rId11" Type="http://schemas.openxmlformats.org/officeDocument/2006/relationships/hyperlink" Target="https://www.communica.co.za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www.robotics.org.za/TRCT5000-4C" TargetMode="External"/><Relationship Id="rId15" Type="http://schemas.openxmlformats.org/officeDocument/2006/relationships/hyperlink" Target="https://www.communica.co.za/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www.communica.co.za/" TargetMode="External"/><Relationship Id="rId19" Type="http://schemas.openxmlformats.org/officeDocument/2006/relationships/hyperlink" Target="https://www.communica.co.za/" TargetMode="External"/><Relationship Id="rId4" Type="http://schemas.openxmlformats.org/officeDocument/2006/relationships/hyperlink" Target="https://www.robotics.org.za/" TargetMode="External"/><Relationship Id="rId9" Type="http://schemas.openxmlformats.org/officeDocument/2006/relationships/hyperlink" Target="https://www.communica.co.za/" TargetMode="External"/><Relationship Id="rId14" Type="http://schemas.openxmlformats.org/officeDocument/2006/relationships/hyperlink" Target="https://www.communica.co.za/" TargetMode="External"/><Relationship Id="rId22" Type="http://schemas.openxmlformats.org/officeDocument/2006/relationships/hyperlink" Target="https://www.robotics.org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showGridLines="0" tabSelected="1" zoomScaleNormal="100" workbookViewId="0">
      <pane ySplit="8" topLeftCell="A9" activePane="bottomLeft" state="frozen"/>
      <selection pane="bottomLeft" activeCell="A3" sqref="A3"/>
    </sheetView>
  </sheetViews>
  <sheetFormatPr defaultColWidth="8.7109375" defaultRowHeight="15" x14ac:dyDescent="0.25"/>
  <cols>
    <col min="1" max="1" width="5" customWidth="1"/>
    <col min="2" max="2" width="52" customWidth="1"/>
    <col min="3" max="3" width="6" customWidth="1"/>
    <col min="4" max="4" width="17" customWidth="1"/>
    <col min="5" max="5" width="16" customWidth="1"/>
    <col min="6" max="6" width="24" customWidth="1"/>
    <col min="7" max="7" width="20" customWidth="1"/>
    <col min="8" max="8" width="40" customWidth="1"/>
    <col min="9" max="9" width="62" customWidth="1"/>
  </cols>
  <sheetData>
    <row r="1" spans="1:9" ht="20.25" x14ac:dyDescent="0.3">
      <c r="A1" s="4" t="s">
        <v>0</v>
      </c>
    </row>
    <row r="2" spans="1:9" x14ac:dyDescent="0.25">
      <c r="A2" s="5" t="s">
        <v>1</v>
      </c>
    </row>
    <row r="3" spans="1:9" x14ac:dyDescent="0.25">
      <c r="A3" s="6" t="s">
        <v>112</v>
      </c>
    </row>
    <row r="5" spans="1:9" x14ac:dyDescent="0.25">
      <c r="A5" s="7"/>
    </row>
    <row r="6" spans="1:9" ht="30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8" spans="1:9" ht="31.5" customHeight="1" x14ac:dyDescent="0.25">
      <c r="A8" s="8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</row>
    <row r="9" spans="1:9" x14ac:dyDescent="0.25">
      <c r="A9" s="2" t="s">
        <v>11</v>
      </c>
      <c r="B9" s="2"/>
      <c r="C9" s="2"/>
      <c r="D9" s="2"/>
      <c r="E9" s="2"/>
      <c r="F9" s="2"/>
      <c r="G9" s="2"/>
      <c r="H9" s="2"/>
      <c r="I9" s="2"/>
    </row>
    <row r="10" spans="1:9" ht="25.5" customHeight="1" x14ac:dyDescent="0.25">
      <c r="A10" s="9">
        <v>1</v>
      </c>
      <c r="B10" s="9" t="s">
        <v>12</v>
      </c>
      <c r="C10" s="10">
        <v>1</v>
      </c>
      <c r="D10" s="11">
        <v>250</v>
      </c>
      <c r="E10" s="12">
        <f>C10*D10</f>
        <v>250</v>
      </c>
      <c r="F10" s="9" t="s">
        <v>13</v>
      </c>
      <c r="G10" s="10" t="s">
        <v>14</v>
      </c>
      <c r="H10" s="13" t="s">
        <v>15</v>
      </c>
      <c r="I10" s="14" t="s">
        <v>16</v>
      </c>
    </row>
    <row r="11" spans="1:9" ht="25.5" customHeight="1" x14ac:dyDescent="0.25">
      <c r="A11" s="9">
        <v>2</v>
      </c>
      <c r="B11" s="9" t="s">
        <v>17</v>
      </c>
      <c r="C11" s="10">
        <v>1</v>
      </c>
      <c r="D11" s="11">
        <v>85</v>
      </c>
      <c r="E11" s="12">
        <f>C11*D11</f>
        <v>85</v>
      </c>
      <c r="F11" s="9" t="s">
        <v>13</v>
      </c>
      <c r="G11" s="10" t="s">
        <v>14</v>
      </c>
      <c r="H11" s="13" t="s">
        <v>15</v>
      </c>
      <c r="I11" s="14" t="s">
        <v>18</v>
      </c>
    </row>
    <row r="12" spans="1:9" ht="25.5" customHeight="1" x14ac:dyDescent="0.25">
      <c r="A12" s="9">
        <v>3</v>
      </c>
      <c r="B12" s="9" t="s">
        <v>19</v>
      </c>
      <c r="C12" s="10">
        <v>2</v>
      </c>
      <c r="D12" s="11">
        <v>55</v>
      </c>
      <c r="E12" s="12">
        <f>C12*D12</f>
        <v>110</v>
      </c>
      <c r="F12" s="9" t="s">
        <v>13</v>
      </c>
      <c r="G12" s="10" t="s">
        <v>14</v>
      </c>
      <c r="H12" s="13" t="s">
        <v>15</v>
      </c>
      <c r="I12" s="14" t="s">
        <v>20</v>
      </c>
    </row>
    <row r="13" spans="1:9" ht="25.5" customHeight="1" x14ac:dyDescent="0.25">
      <c r="A13" s="9">
        <v>4</v>
      </c>
      <c r="B13" s="9" t="s">
        <v>21</v>
      </c>
      <c r="C13" s="10">
        <v>1</v>
      </c>
      <c r="D13" s="11">
        <v>35</v>
      </c>
      <c r="E13" s="12">
        <f>C13*D13</f>
        <v>35</v>
      </c>
      <c r="F13" s="9" t="s">
        <v>13</v>
      </c>
      <c r="G13" s="10" t="s">
        <v>14</v>
      </c>
      <c r="H13" s="13" t="s">
        <v>15</v>
      </c>
      <c r="I13" s="14" t="s">
        <v>22</v>
      </c>
    </row>
    <row r="14" spans="1:9" x14ac:dyDescent="0.25">
      <c r="A14" s="2" t="s">
        <v>23</v>
      </c>
      <c r="B14" s="2"/>
      <c r="C14" s="2"/>
      <c r="D14" s="2"/>
      <c r="E14" s="2"/>
      <c r="F14" s="2"/>
      <c r="G14" s="2"/>
      <c r="H14" s="2"/>
      <c r="I14" s="2"/>
    </row>
    <row r="15" spans="1:9" ht="25.5" customHeight="1" x14ac:dyDescent="0.25">
      <c r="A15" s="9">
        <v>5</v>
      </c>
      <c r="B15" s="9" t="s">
        <v>24</v>
      </c>
      <c r="C15" s="10">
        <v>1</v>
      </c>
      <c r="D15" s="11">
        <v>135</v>
      </c>
      <c r="E15" s="12">
        <f>C15*D15</f>
        <v>135</v>
      </c>
      <c r="F15" s="9" t="s">
        <v>13</v>
      </c>
      <c r="G15" s="10" t="s">
        <v>25</v>
      </c>
      <c r="H15" s="13" t="s">
        <v>26</v>
      </c>
      <c r="I15" s="14" t="s">
        <v>27</v>
      </c>
    </row>
    <row r="16" spans="1:9" ht="25.5" customHeight="1" x14ac:dyDescent="0.25">
      <c r="A16" s="9">
        <v>6</v>
      </c>
      <c r="B16" s="9" t="s">
        <v>28</v>
      </c>
      <c r="C16" s="10">
        <v>1</v>
      </c>
      <c r="D16" s="11">
        <v>32</v>
      </c>
      <c r="E16" s="12">
        <f>C16*D16</f>
        <v>32</v>
      </c>
      <c r="F16" s="9" t="s">
        <v>13</v>
      </c>
      <c r="G16" s="10" t="s">
        <v>29</v>
      </c>
      <c r="H16" s="13" t="s">
        <v>30</v>
      </c>
      <c r="I16" s="14" t="s">
        <v>31</v>
      </c>
    </row>
    <row r="17" spans="1:9" x14ac:dyDescent="0.25">
      <c r="A17" s="2" t="s">
        <v>32</v>
      </c>
      <c r="B17" s="2"/>
      <c r="C17" s="2"/>
      <c r="D17" s="2"/>
      <c r="E17" s="2"/>
      <c r="F17" s="2"/>
      <c r="G17" s="2"/>
      <c r="H17" s="2"/>
      <c r="I17" s="2"/>
    </row>
    <row r="18" spans="1:9" ht="25.5" customHeight="1" x14ac:dyDescent="0.25">
      <c r="A18" s="9">
        <v>7</v>
      </c>
      <c r="B18" s="9" t="s">
        <v>33</v>
      </c>
      <c r="C18" s="10">
        <v>2</v>
      </c>
      <c r="D18" s="11">
        <v>45</v>
      </c>
      <c r="E18" s="12">
        <f>C18*D18</f>
        <v>90</v>
      </c>
      <c r="F18" s="9" t="s">
        <v>34</v>
      </c>
      <c r="G18" s="10" t="s">
        <v>14</v>
      </c>
      <c r="H18" s="13" t="s">
        <v>35</v>
      </c>
      <c r="I18" s="14" t="s">
        <v>36</v>
      </c>
    </row>
    <row r="19" spans="1:9" ht="25.5" customHeight="1" x14ac:dyDescent="0.25">
      <c r="A19" s="9">
        <v>8</v>
      </c>
      <c r="B19" s="9" t="s">
        <v>37</v>
      </c>
      <c r="C19" s="10">
        <v>2</v>
      </c>
      <c r="D19" s="11">
        <v>18</v>
      </c>
      <c r="E19" s="12">
        <f>C19*D19</f>
        <v>36</v>
      </c>
      <c r="F19" s="9" t="s">
        <v>34</v>
      </c>
      <c r="G19" s="10" t="s">
        <v>14</v>
      </c>
      <c r="H19" s="13" t="s">
        <v>35</v>
      </c>
      <c r="I19" s="14" t="s">
        <v>38</v>
      </c>
    </row>
    <row r="20" spans="1:9" ht="25.5" customHeight="1" x14ac:dyDescent="0.25">
      <c r="A20" s="9">
        <v>9</v>
      </c>
      <c r="B20" s="9" t="s">
        <v>39</v>
      </c>
      <c r="C20" s="10">
        <v>1</v>
      </c>
      <c r="D20" s="11">
        <v>145</v>
      </c>
      <c r="E20" s="12">
        <f>C20*D20</f>
        <v>145</v>
      </c>
      <c r="F20" s="9" t="s">
        <v>34</v>
      </c>
      <c r="G20" s="10" t="s">
        <v>14</v>
      </c>
      <c r="H20" s="13" t="s">
        <v>35</v>
      </c>
      <c r="I20" s="14" t="s">
        <v>40</v>
      </c>
    </row>
    <row r="21" spans="1:9" ht="25.5" customHeight="1" x14ac:dyDescent="0.25">
      <c r="A21" s="9">
        <v>10</v>
      </c>
      <c r="B21" s="9" t="s">
        <v>41</v>
      </c>
      <c r="C21" s="10">
        <v>1</v>
      </c>
      <c r="D21" s="11">
        <v>18</v>
      </c>
      <c r="E21" s="12">
        <f>C21*D21</f>
        <v>18</v>
      </c>
      <c r="F21" s="9" t="s">
        <v>34</v>
      </c>
      <c r="G21" s="10" t="s">
        <v>14</v>
      </c>
      <c r="H21" s="13" t="s">
        <v>35</v>
      </c>
      <c r="I21" s="14" t="s">
        <v>42</v>
      </c>
    </row>
    <row r="22" spans="1:9" ht="25.5" customHeight="1" x14ac:dyDescent="0.25">
      <c r="A22" s="9">
        <v>11</v>
      </c>
      <c r="B22" s="9" t="s">
        <v>43</v>
      </c>
      <c r="C22" s="10">
        <v>1</v>
      </c>
      <c r="D22" s="11">
        <v>12</v>
      </c>
      <c r="E22" s="12">
        <f>C22*D22</f>
        <v>12</v>
      </c>
      <c r="F22" s="9" t="s">
        <v>34</v>
      </c>
      <c r="G22" s="10" t="s">
        <v>14</v>
      </c>
      <c r="H22" s="13" t="s">
        <v>35</v>
      </c>
      <c r="I22" s="14" t="s">
        <v>44</v>
      </c>
    </row>
    <row r="23" spans="1:9" x14ac:dyDescent="0.25">
      <c r="A23" s="2" t="s">
        <v>45</v>
      </c>
      <c r="B23" s="2"/>
      <c r="C23" s="2"/>
      <c r="D23" s="2"/>
      <c r="E23" s="2"/>
      <c r="F23" s="2"/>
      <c r="G23" s="2"/>
      <c r="H23" s="2"/>
      <c r="I23" s="2"/>
    </row>
    <row r="24" spans="1:9" ht="25.5" customHeight="1" x14ac:dyDescent="0.25">
      <c r="A24" s="9">
        <v>12</v>
      </c>
      <c r="B24" s="9" t="s">
        <v>46</v>
      </c>
      <c r="C24" s="10">
        <v>1</v>
      </c>
      <c r="D24" s="11">
        <v>8</v>
      </c>
      <c r="E24" s="12">
        <f>C24*D24</f>
        <v>8</v>
      </c>
      <c r="F24" s="9" t="s">
        <v>34</v>
      </c>
      <c r="G24" s="10" t="s">
        <v>14</v>
      </c>
      <c r="H24" s="13" t="s">
        <v>35</v>
      </c>
      <c r="I24" s="14" t="s">
        <v>47</v>
      </c>
    </row>
    <row r="25" spans="1:9" ht="25.5" customHeight="1" x14ac:dyDescent="0.25">
      <c r="A25" s="9">
        <v>13</v>
      </c>
      <c r="B25" s="9" t="s">
        <v>48</v>
      </c>
      <c r="C25" s="10">
        <v>2</v>
      </c>
      <c r="D25" s="11">
        <v>3</v>
      </c>
      <c r="E25" s="12">
        <f>C25*D25</f>
        <v>6</v>
      </c>
      <c r="F25" s="9" t="s">
        <v>34</v>
      </c>
      <c r="G25" s="10" t="s">
        <v>14</v>
      </c>
      <c r="H25" s="13" t="s">
        <v>35</v>
      </c>
      <c r="I25" s="14" t="s">
        <v>49</v>
      </c>
    </row>
    <row r="26" spans="1:9" ht="25.5" customHeight="1" x14ac:dyDescent="0.25">
      <c r="A26" s="9">
        <v>14</v>
      </c>
      <c r="B26" s="9" t="s">
        <v>50</v>
      </c>
      <c r="C26" s="10">
        <v>1</v>
      </c>
      <c r="D26" s="11">
        <v>25</v>
      </c>
      <c r="E26" s="12">
        <f>C26*D26</f>
        <v>25</v>
      </c>
      <c r="F26" s="9" t="s">
        <v>34</v>
      </c>
      <c r="G26" s="10" t="s">
        <v>14</v>
      </c>
      <c r="H26" s="13" t="s">
        <v>35</v>
      </c>
      <c r="I26" s="14" t="s">
        <v>51</v>
      </c>
    </row>
    <row r="27" spans="1:9" ht="25.5" customHeight="1" x14ac:dyDescent="0.25">
      <c r="A27" s="9">
        <v>15</v>
      </c>
      <c r="B27" s="9" t="s">
        <v>52</v>
      </c>
      <c r="C27" s="10">
        <v>1</v>
      </c>
      <c r="D27" s="11">
        <v>15</v>
      </c>
      <c r="E27" s="12">
        <f>C27*D27</f>
        <v>15</v>
      </c>
      <c r="F27" s="9" t="s">
        <v>34</v>
      </c>
      <c r="G27" s="10" t="s">
        <v>14</v>
      </c>
      <c r="H27" s="13" t="s">
        <v>35</v>
      </c>
      <c r="I27" s="14" t="s">
        <v>53</v>
      </c>
    </row>
    <row r="28" spans="1:9" ht="25.5" customHeight="1" x14ac:dyDescent="0.25">
      <c r="A28" s="9">
        <v>16</v>
      </c>
      <c r="B28" s="9" t="s">
        <v>54</v>
      </c>
      <c r="C28" s="10">
        <v>1</v>
      </c>
      <c r="D28" s="11">
        <v>4</v>
      </c>
      <c r="E28" s="12">
        <f>C28*D28</f>
        <v>4</v>
      </c>
      <c r="F28" s="9" t="s">
        <v>34</v>
      </c>
      <c r="G28" s="10" t="s">
        <v>14</v>
      </c>
      <c r="H28" s="13" t="s">
        <v>35</v>
      </c>
      <c r="I28" s="14" t="s">
        <v>55</v>
      </c>
    </row>
    <row r="29" spans="1:9" x14ac:dyDescent="0.25">
      <c r="A29" s="2" t="s">
        <v>56</v>
      </c>
      <c r="B29" s="2"/>
      <c r="C29" s="2"/>
      <c r="D29" s="2"/>
      <c r="E29" s="2"/>
      <c r="F29" s="2"/>
      <c r="G29" s="2"/>
      <c r="H29" s="2"/>
      <c r="I29" s="2"/>
    </row>
    <row r="30" spans="1:9" ht="25.5" customHeight="1" x14ac:dyDescent="0.25">
      <c r="A30" s="9">
        <v>17</v>
      </c>
      <c r="B30" s="9" t="s">
        <v>57</v>
      </c>
      <c r="C30" s="10">
        <v>1</v>
      </c>
      <c r="D30" s="11">
        <v>75</v>
      </c>
      <c r="E30" s="12">
        <f>C30*D30</f>
        <v>75</v>
      </c>
      <c r="F30" s="9" t="s">
        <v>13</v>
      </c>
      <c r="G30" s="10" t="s">
        <v>14</v>
      </c>
      <c r="H30" s="13" t="s">
        <v>15</v>
      </c>
      <c r="I30" s="14" t="s">
        <v>58</v>
      </c>
    </row>
    <row r="31" spans="1:9" ht="25.5" customHeight="1" x14ac:dyDescent="0.25">
      <c r="A31" s="9">
        <v>18</v>
      </c>
      <c r="B31" s="9" t="s">
        <v>59</v>
      </c>
      <c r="C31" s="10">
        <v>1</v>
      </c>
      <c r="D31" s="11">
        <v>95</v>
      </c>
      <c r="E31" s="12">
        <f>C31*D31</f>
        <v>95</v>
      </c>
      <c r="F31" s="9" t="s">
        <v>13</v>
      </c>
      <c r="G31" s="10" t="s">
        <v>14</v>
      </c>
      <c r="H31" s="13" t="s">
        <v>15</v>
      </c>
      <c r="I31" s="14" t="s">
        <v>60</v>
      </c>
    </row>
    <row r="32" spans="1:9" ht="25.5" customHeight="1" x14ac:dyDescent="0.25">
      <c r="A32" s="9">
        <v>19</v>
      </c>
      <c r="B32" s="9" t="s">
        <v>61</v>
      </c>
      <c r="C32" s="10">
        <v>1</v>
      </c>
      <c r="D32" s="11">
        <v>60</v>
      </c>
      <c r="E32" s="12">
        <f>C32*D32</f>
        <v>60</v>
      </c>
      <c r="F32" s="9" t="s">
        <v>34</v>
      </c>
      <c r="G32" s="10" t="s">
        <v>14</v>
      </c>
      <c r="H32" s="13" t="s">
        <v>35</v>
      </c>
      <c r="I32" s="14" t="s">
        <v>62</v>
      </c>
    </row>
    <row r="33" spans="1:9" x14ac:dyDescent="0.25">
      <c r="A33" s="2" t="s">
        <v>63</v>
      </c>
      <c r="B33" s="2"/>
      <c r="C33" s="2"/>
      <c r="D33" s="2"/>
      <c r="E33" s="2"/>
      <c r="F33" s="2"/>
      <c r="G33" s="2"/>
      <c r="H33" s="2"/>
      <c r="I33" s="2"/>
    </row>
    <row r="34" spans="1:9" ht="25.5" customHeight="1" x14ac:dyDescent="0.25">
      <c r="A34" s="9">
        <v>20</v>
      </c>
      <c r="B34" s="9" t="s">
        <v>64</v>
      </c>
      <c r="C34" s="10">
        <v>1</v>
      </c>
      <c r="D34" s="11">
        <v>180</v>
      </c>
      <c r="E34" s="12">
        <f>C34*D34</f>
        <v>180</v>
      </c>
      <c r="F34" s="9" t="s">
        <v>65</v>
      </c>
      <c r="G34" s="10" t="s">
        <v>14</v>
      </c>
      <c r="H34" s="15" t="s">
        <v>66</v>
      </c>
      <c r="I34" s="14" t="s">
        <v>67</v>
      </c>
    </row>
    <row r="35" spans="1:9" ht="25.5" customHeight="1" x14ac:dyDescent="0.25">
      <c r="A35" s="9">
        <v>21</v>
      </c>
      <c r="B35" s="9" t="s">
        <v>68</v>
      </c>
      <c r="C35" s="10">
        <v>1</v>
      </c>
      <c r="D35" s="11">
        <v>120</v>
      </c>
      <c r="E35" s="12">
        <f>C35*D35</f>
        <v>120</v>
      </c>
      <c r="F35" s="9" t="s">
        <v>34</v>
      </c>
      <c r="G35" s="10" t="s">
        <v>14</v>
      </c>
      <c r="H35" s="13" t="s">
        <v>35</v>
      </c>
      <c r="I35" s="14" t="s">
        <v>69</v>
      </c>
    </row>
    <row r="36" spans="1:9" ht="25.5" customHeight="1" x14ac:dyDescent="0.25">
      <c r="A36" s="9">
        <v>22</v>
      </c>
      <c r="B36" s="9" t="s">
        <v>70</v>
      </c>
      <c r="C36" s="10">
        <v>1</v>
      </c>
      <c r="D36" s="11">
        <v>85</v>
      </c>
      <c r="E36" s="12">
        <f>C36*D36</f>
        <v>85</v>
      </c>
      <c r="F36" s="9" t="s">
        <v>34</v>
      </c>
      <c r="G36" s="10" t="s">
        <v>14</v>
      </c>
      <c r="H36" s="13" t="s">
        <v>35</v>
      </c>
      <c r="I36" s="14" t="s">
        <v>71</v>
      </c>
    </row>
    <row r="37" spans="1:9" ht="25.5" customHeight="1" x14ac:dyDescent="0.25">
      <c r="A37" s="9">
        <v>23</v>
      </c>
      <c r="B37" s="9" t="s">
        <v>72</v>
      </c>
      <c r="C37" s="10">
        <v>1</v>
      </c>
      <c r="D37" s="11">
        <v>25</v>
      </c>
      <c r="E37" s="12">
        <f>C37*D37</f>
        <v>25</v>
      </c>
      <c r="F37" s="9" t="s">
        <v>73</v>
      </c>
      <c r="G37" s="10" t="s">
        <v>14</v>
      </c>
      <c r="H37" s="15" t="s">
        <v>66</v>
      </c>
      <c r="I37" s="14" t="s">
        <v>74</v>
      </c>
    </row>
    <row r="38" spans="1:9" ht="25.5" customHeight="1" x14ac:dyDescent="0.25">
      <c r="A38" s="9">
        <v>24</v>
      </c>
      <c r="B38" s="9" t="s">
        <v>75</v>
      </c>
      <c r="C38" s="10">
        <v>1</v>
      </c>
      <c r="D38" s="11">
        <v>30</v>
      </c>
      <c r="E38" s="12">
        <f>C38*D38</f>
        <v>30</v>
      </c>
      <c r="F38" s="9" t="s">
        <v>13</v>
      </c>
      <c r="G38" s="10" t="s">
        <v>14</v>
      </c>
      <c r="H38" s="13" t="s">
        <v>15</v>
      </c>
      <c r="I38" s="14" t="s">
        <v>76</v>
      </c>
    </row>
    <row r="40" spans="1:9" x14ac:dyDescent="0.25">
      <c r="B40" s="16" t="s">
        <v>77</v>
      </c>
      <c r="E40" s="17">
        <f>SUM(E10:E38)</f>
        <v>1676</v>
      </c>
    </row>
    <row r="41" spans="1:9" ht="24" x14ac:dyDescent="0.25">
      <c r="B41" s="18" t="s">
        <v>78</v>
      </c>
      <c r="D41" s="19">
        <v>0.1</v>
      </c>
      <c r="E41" s="20">
        <f>E40*D41</f>
        <v>167.60000000000002</v>
      </c>
      <c r="I41" s="21" t="s">
        <v>79</v>
      </c>
    </row>
    <row r="42" spans="1:9" ht="24" customHeight="1" x14ac:dyDescent="0.25">
      <c r="B42" s="22" t="s">
        <v>80</v>
      </c>
      <c r="C42" s="23"/>
      <c r="D42" s="23"/>
      <c r="E42" s="24">
        <f>E40+E41</f>
        <v>1843.6</v>
      </c>
      <c r="F42" s="25" t="s">
        <v>81</v>
      </c>
    </row>
    <row r="44" spans="1:9" x14ac:dyDescent="0.25">
      <c r="B44" s="7" t="s">
        <v>82</v>
      </c>
      <c r="E44" s="26">
        <f>SUM(C10:C38)</f>
        <v>28</v>
      </c>
    </row>
    <row r="45" spans="1:9" x14ac:dyDescent="0.25">
      <c r="B45" s="7" t="s">
        <v>83</v>
      </c>
      <c r="E45" s="26">
        <f>COUNT(E10:E38)</f>
        <v>24</v>
      </c>
    </row>
  </sheetData>
  <mergeCells count="7">
    <mergeCell ref="A29:I29"/>
    <mergeCell ref="A33:I33"/>
    <mergeCell ref="A6:I6"/>
    <mergeCell ref="A9:I9"/>
    <mergeCell ref="A14:I14"/>
    <mergeCell ref="A17:I17"/>
    <mergeCell ref="A23:I23"/>
  </mergeCells>
  <hyperlinks>
    <hyperlink ref="H10" r:id="rId1" xr:uid="{00000000-0004-0000-0000-000000000000}"/>
    <hyperlink ref="H11" r:id="rId2" xr:uid="{00000000-0004-0000-0000-000001000000}"/>
    <hyperlink ref="H12" r:id="rId3" xr:uid="{00000000-0004-0000-0000-000002000000}"/>
    <hyperlink ref="H13" r:id="rId4" xr:uid="{00000000-0004-0000-0000-000003000000}"/>
    <hyperlink ref="H15" r:id="rId5" xr:uid="{00000000-0004-0000-0000-000004000000}"/>
    <hyperlink ref="H16" r:id="rId6" xr:uid="{00000000-0004-0000-0000-000005000000}"/>
    <hyperlink ref="H18" r:id="rId7" xr:uid="{00000000-0004-0000-0000-000006000000}"/>
    <hyperlink ref="H19" r:id="rId8" xr:uid="{00000000-0004-0000-0000-000007000000}"/>
    <hyperlink ref="H20" r:id="rId9" xr:uid="{00000000-0004-0000-0000-000008000000}"/>
    <hyperlink ref="H21" r:id="rId10" xr:uid="{00000000-0004-0000-0000-000009000000}"/>
    <hyperlink ref="H22" r:id="rId11" xr:uid="{00000000-0004-0000-0000-00000A000000}"/>
    <hyperlink ref="H24" r:id="rId12" xr:uid="{00000000-0004-0000-0000-00000B000000}"/>
    <hyperlink ref="H25" r:id="rId13" xr:uid="{00000000-0004-0000-0000-00000C000000}"/>
    <hyperlink ref="H26" r:id="rId14" xr:uid="{00000000-0004-0000-0000-00000D000000}"/>
    <hyperlink ref="H27" r:id="rId15" xr:uid="{00000000-0004-0000-0000-00000E000000}"/>
    <hyperlink ref="H28" r:id="rId16" xr:uid="{00000000-0004-0000-0000-00000F000000}"/>
    <hyperlink ref="H30" r:id="rId17" xr:uid="{00000000-0004-0000-0000-000010000000}"/>
    <hyperlink ref="H31" r:id="rId18" xr:uid="{00000000-0004-0000-0000-000011000000}"/>
    <hyperlink ref="H32" r:id="rId19" xr:uid="{00000000-0004-0000-0000-000012000000}"/>
    <hyperlink ref="H35" r:id="rId20" xr:uid="{00000000-0004-0000-0000-000013000000}"/>
    <hyperlink ref="H36" r:id="rId21" xr:uid="{00000000-0004-0000-0000-000014000000}"/>
    <hyperlink ref="H38" r:id="rId22" xr:uid="{00000000-0004-0000-0000-000015000000}"/>
  </hyperlinks>
  <pageMargins left="0.75" right="0.75" top="1" bottom="1" header="0.511811023622047" footer="0.511811023622047"/>
  <pageSetup orientation="landscape" horizontalDpi="300" verticalDpi="300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2" width="18" customWidth="1"/>
    <col min="3" max="3" width="14" customWidth="1"/>
    <col min="4" max="4" width="60" customWidth="1"/>
  </cols>
  <sheetData>
    <row r="1" spans="1:4" ht="18" x14ac:dyDescent="0.25">
      <c r="A1" s="27" t="s">
        <v>84</v>
      </c>
    </row>
    <row r="2" spans="1:4" x14ac:dyDescent="0.25">
      <c r="A2" s="6" t="s">
        <v>85</v>
      </c>
    </row>
    <row r="4" spans="1:4" x14ac:dyDescent="0.25">
      <c r="A4" s="28" t="s">
        <v>86</v>
      </c>
      <c r="B4" s="28" t="s">
        <v>87</v>
      </c>
      <c r="C4" s="28" t="s">
        <v>88</v>
      </c>
      <c r="D4" s="28" t="s">
        <v>89</v>
      </c>
    </row>
    <row r="5" spans="1:4" ht="30" customHeight="1" x14ac:dyDescent="0.25">
      <c r="A5" s="9" t="s">
        <v>90</v>
      </c>
      <c r="B5" s="12">
        <f>SUM('Bill of Materials'!E10:E13)</f>
        <v>480</v>
      </c>
      <c r="C5" s="29">
        <f>IF('Bill of Materials'!$E$40=0,0,B5/'Bill of Materials'!$E$40)</f>
        <v>0.28639618138424822</v>
      </c>
      <c r="D5" s="14" t="s">
        <v>91</v>
      </c>
    </row>
    <row r="6" spans="1:4" ht="30" customHeight="1" x14ac:dyDescent="0.25">
      <c r="A6" s="9" t="s">
        <v>92</v>
      </c>
      <c r="B6" s="12">
        <f>SUM('Bill of Materials'!E15:E16)</f>
        <v>167</v>
      </c>
      <c r="C6" s="29">
        <f>IF('Bill of Materials'!$E$40=0,0,B6/'Bill of Materials'!$E$40)</f>
        <v>9.9642004773269691E-2</v>
      </c>
      <c r="D6" s="14" t="s">
        <v>93</v>
      </c>
    </row>
    <row r="7" spans="1:4" ht="30" customHeight="1" x14ac:dyDescent="0.25">
      <c r="A7" s="9" t="s">
        <v>94</v>
      </c>
      <c r="B7" s="12">
        <f>SUM('Bill of Materials'!E18:E22)</f>
        <v>301</v>
      </c>
      <c r="C7" s="29">
        <f>IF('Bill of Materials'!$E$40=0,0,B7/'Bill of Materials'!$E$40)</f>
        <v>0.17959427207637232</v>
      </c>
      <c r="D7" s="14" t="s">
        <v>95</v>
      </c>
    </row>
    <row r="8" spans="1:4" ht="30" customHeight="1" x14ac:dyDescent="0.25">
      <c r="A8" s="9" t="s">
        <v>96</v>
      </c>
      <c r="B8" s="12">
        <f>SUM('Bill of Materials'!E24:E28)</f>
        <v>58</v>
      </c>
      <c r="C8" s="29">
        <f>IF('Bill of Materials'!$E$40=0,0,B8/'Bill of Materials'!$E$40)</f>
        <v>3.4606205250596656E-2</v>
      </c>
      <c r="D8" s="14" t="s">
        <v>97</v>
      </c>
    </row>
    <row r="9" spans="1:4" ht="30" customHeight="1" x14ac:dyDescent="0.25">
      <c r="A9" s="9" t="s">
        <v>98</v>
      </c>
      <c r="B9" s="12">
        <f>SUM('Bill of Materials'!E30:E32)</f>
        <v>230</v>
      </c>
      <c r="C9" s="29">
        <f>IF('Bill of Materials'!$E$40=0,0,B9/'Bill of Materials'!$E$40)</f>
        <v>0.13723150357995226</v>
      </c>
      <c r="D9" s="14" t="s">
        <v>99</v>
      </c>
    </row>
    <row r="10" spans="1:4" ht="30" customHeight="1" x14ac:dyDescent="0.25">
      <c r="A10" s="9" t="s">
        <v>100</v>
      </c>
      <c r="B10" s="12">
        <f>SUM('Bill of Materials'!E34:E38)</f>
        <v>440</v>
      </c>
      <c r="C10" s="29">
        <f>IF('Bill of Materials'!$E$40=0,0,B10/'Bill of Materials'!$E$40)</f>
        <v>0.26252983293556087</v>
      </c>
      <c r="D10" s="14" t="s">
        <v>101</v>
      </c>
    </row>
    <row r="11" spans="1:4" x14ac:dyDescent="0.25">
      <c r="A11" s="16" t="s">
        <v>77</v>
      </c>
      <c r="B11" s="17">
        <f>SUM(B5:B10)</f>
        <v>1676</v>
      </c>
      <c r="C11" s="30">
        <f>SUM(C5:C10)</f>
        <v>1</v>
      </c>
    </row>
    <row r="12" spans="1:4" x14ac:dyDescent="0.25">
      <c r="A12" s="18" t="s">
        <v>102</v>
      </c>
      <c r="B12" s="20">
        <f>'Bill of Materials'!E41</f>
        <v>167.60000000000002</v>
      </c>
    </row>
    <row r="13" spans="1:4" ht="16.5" x14ac:dyDescent="0.25">
      <c r="A13" s="31" t="s">
        <v>80</v>
      </c>
      <c r="B13" s="32">
        <f>'Bill of Materials'!E42</f>
        <v>1843.6</v>
      </c>
    </row>
    <row r="16" spans="1:4" x14ac:dyDescent="0.25">
      <c r="A16" s="16" t="s">
        <v>103</v>
      </c>
    </row>
    <row r="17" spans="1:4" x14ac:dyDescent="0.25">
      <c r="A17" s="7" t="s">
        <v>104</v>
      </c>
      <c r="B17" s="1" t="s">
        <v>105</v>
      </c>
      <c r="C17" s="1"/>
      <c r="D17" s="1"/>
    </row>
    <row r="18" spans="1:4" x14ac:dyDescent="0.25">
      <c r="A18" s="7" t="s">
        <v>106</v>
      </c>
      <c r="B18" s="1" t="s">
        <v>107</v>
      </c>
      <c r="C18" s="1"/>
      <c r="D18" s="1"/>
    </row>
    <row r="19" spans="1:4" x14ac:dyDescent="0.25">
      <c r="A19" s="7" t="s">
        <v>108</v>
      </c>
      <c r="B19" s="1" t="s">
        <v>109</v>
      </c>
      <c r="C19" s="1"/>
      <c r="D19" s="1"/>
    </row>
    <row r="20" spans="1:4" x14ac:dyDescent="0.25">
      <c r="A20" s="7" t="s">
        <v>110</v>
      </c>
      <c r="B20" s="1" t="s">
        <v>111</v>
      </c>
      <c r="C20" s="1"/>
      <c r="D20" s="1"/>
    </row>
  </sheetData>
  <mergeCells count="4">
    <mergeCell ref="B17:D17"/>
    <mergeCell ref="B18:D18"/>
    <mergeCell ref="B19:D19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Bill of Materials</vt:lpstr>
      <vt:lpstr>Cost by category</vt:lpstr>
      <vt:lpstr>'Bill of Materials'!Print_Titles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General</cp:lastModifiedBy>
  <cp:revision>0</cp:revision>
  <dcterms:created xsi:type="dcterms:W3CDTF">2026-09-09T11:18:47Z</dcterms:created>
  <dcterms:modified xsi:type="dcterms:W3CDTF">2026-09-09T12:39:37Z</dcterms:modified>
  <dc:language>en-US</dc:language>
</cp:coreProperties>
</file>